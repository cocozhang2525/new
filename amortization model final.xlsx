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zhang\Documents\"/>
    </mc:Choice>
  </mc:AlternateContent>
  <xr:revisionPtr revIDLastSave="0" documentId="8_{0E52CAB0-A0CE-4CC6-AC5C-CBB9004BA660}" xr6:coauthVersionLast="47" xr6:coauthVersionMax="47" xr10:uidLastSave="{00000000-0000-0000-0000-000000000000}"/>
  <bookViews>
    <workbookView xWindow="-120" yWindow="-120" windowWidth="29040" windowHeight="15720" xr2:uid="{A85AC5E5-C33A-4D9D-82A2-F70F1C15B8DC}"/>
  </bookViews>
  <sheets>
    <sheet name="AmortizationModel" sheetId="1" r:id="rId1"/>
  </sheets>
  <definedNames>
    <definedName name="ActiveBalance">#REF!</definedName>
    <definedName name="ActiveCDR">#REF!</definedName>
    <definedName name="ActiveCPR">#REF!</definedName>
    <definedName name="ActiveLag">#REF!</definedName>
    <definedName name="ActiveRate">#REF!</definedName>
    <definedName name="ActiveRepline">#REF!</definedName>
    <definedName name="ActiveScenario">#REF!</definedName>
    <definedName name="ActiveSchedPmt" localSheetId="0">AmortizationModel!#REF!</definedName>
    <definedName name="ActiveSchedPmt">#REF!</definedName>
    <definedName name="ActiveSenSvcFee">#REF!</definedName>
    <definedName name="ActiveSeverity">#REF!</definedName>
    <definedName name="ActiveSubSvcFee">#REF!</definedName>
    <definedName name="ActiveTerm">#REF!</definedName>
    <definedName name="ActiveTerminalMonth">#REF!</definedName>
    <definedName name="BaseCGL">#REF!</definedName>
    <definedName name="BaseCNL">#REF!</definedName>
    <definedName name="CutOffDate">#REF!</definedName>
    <definedName name="FinancingWAL">#REF!</definedName>
    <definedName name="FirstPayDate">#REF!</definedName>
    <definedName name="FirstPeriodCollatFactor">#REF!</definedName>
    <definedName name="ImpliedMezzYield">#REF!</definedName>
    <definedName name="LossCurvePaste">#REF!</definedName>
    <definedName name="LossCurveStart">#REF!</definedName>
    <definedName name="Mezz_Delta">#REF!</definedName>
    <definedName name="MezzWAL">#REF!</definedName>
    <definedName name="OutputCopyStart">#REF!</definedName>
    <definedName name="OutputPaste">#REF!</definedName>
    <definedName name="Pool_CF_Period_Start">#REF!</definedName>
    <definedName name="Pool_CFs_End">#REF!</definedName>
    <definedName name="PoolCGL">#REF!</definedName>
    <definedName name="PoolCNL">#REF!</definedName>
    <definedName name="PoolWAL">#REF!</definedName>
    <definedName name="Repline_CF_Copy_End" localSheetId="0">AmortizationModel!#REF!</definedName>
    <definedName name="Repline_CF_Copy_End">#REF!</definedName>
    <definedName name="Repline_CF_Copy_Start" localSheetId="0">AmortizationModel!#REF!</definedName>
    <definedName name="Repline_CF_Copy_Start">#REF!</definedName>
    <definedName name="Repline_CF_Paste_Start">#REF!</definedName>
    <definedName name="Repline_Start">#REF!</definedName>
    <definedName name="ResidCash">#REF!</definedName>
    <definedName name="ResidMVDelta">#REF!</definedName>
    <definedName name="ResidYield">#REF!</definedName>
    <definedName name="Scenario_Start">#REF!</definedName>
    <definedName name="SOFR">#REF!</definedName>
    <definedName name="SrWAL">#REF!</definedName>
    <definedName name="Sub_Svc_To_SoFi">#REF!</definedName>
    <definedName name="XI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8" i="1"/>
  <c r="K1" i="1"/>
  <c r="R2" i="1"/>
  <c r="I3" i="1"/>
  <c r="L232" i="1"/>
  <c r="I232" i="1"/>
  <c r="J232" i="1" s="1"/>
  <c r="N231" i="1"/>
  <c r="M231" i="1"/>
  <c r="L231" i="1"/>
  <c r="K231" i="1" s="1" a="1"/>
  <c r="K231" i="1" s="1"/>
  <c r="I231" i="1"/>
  <c r="J231" i="1" s="1"/>
  <c r="L230" i="1"/>
  <c r="I230" i="1"/>
  <c r="J230" i="1" s="1"/>
  <c r="L229" i="1"/>
  <c r="J229" i="1"/>
  <c r="I229" i="1"/>
  <c r="M228" i="1"/>
  <c r="L228" i="1"/>
  <c r="I228" i="1"/>
  <c r="J228" i="1" s="1"/>
  <c r="N227" i="1"/>
  <c r="L227" i="1"/>
  <c r="K227" i="1" a="1"/>
  <c r="K227" i="1" s="1"/>
  <c r="I227" i="1"/>
  <c r="J227" i="1" s="1"/>
  <c r="N226" i="1"/>
  <c r="M226" i="1"/>
  <c r="L226" i="1"/>
  <c r="K226" i="1" s="1" a="1"/>
  <c r="K226" i="1" s="1"/>
  <c r="O226" i="1" s="1"/>
  <c r="P226" i="1" s="1"/>
  <c r="I226" i="1"/>
  <c r="J226" i="1" s="1"/>
  <c r="N225" i="1"/>
  <c r="L225" i="1"/>
  <c r="K225" i="1" a="1"/>
  <c r="K225" i="1" s="1"/>
  <c r="I225" i="1"/>
  <c r="J225" i="1" s="1"/>
  <c r="L224" i="1"/>
  <c r="N228" i="1" s="1"/>
  <c r="I224" i="1"/>
  <c r="J224" i="1" s="1"/>
  <c r="L223" i="1"/>
  <c r="I223" i="1"/>
  <c r="J223" i="1" s="1"/>
  <c r="L222" i="1"/>
  <c r="I222" i="1"/>
  <c r="J222" i="1" s="1"/>
  <c r="R221" i="1"/>
  <c r="S221" i="1" s="1"/>
  <c r="L221" i="1"/>
  <c r="M225" i="1" s="1"/>
  <c r="R220" i="1"/>
  <c r="S220" i="1" s="1"/>
  <c r="R219" i="1"/>
  <c r="S219" i="1" s="1"/>
  <c r="R218" i="1"/>
  <c r="S218" i="1" s="1"/>
  <c r="T216" i="1"/>
  <c r="U216" i="1" s="1"/>
  <c r="S216" i="1"/>
  <c r="R216" i="1"/>
  <c r="T215" i="1"/>
  <c r="U215" i="1" s="1"/>
  <c r="S215" i="1"/>
  <c r="R215" i="1"/>
  <c r="T214" i="1"/>
  <c r="U214" i="1" s="1"/>
  <c r="S214" i="1"/>
  <c r="R214" i="1"/>
  <c r="T213" i="1"/>
  <c r="U213" i="1" s="1"/>
  <c r="S213" i="1"/>
  <c r="R213" i="1"/>
  <c r="T212" i="1"/>
  <c r="U212" i="1" s="1"/>
  <c r="S212" i="1"/>
  <c r="R212" i="1"/>
  <c r="T211" i="1"/>
  <c r="U211" i="1" s="1"/>
  <c r="S211" i="1"/>
  <c r="R211" i="1"/>
  <c r="T210" i="1"/>
  <c r="U210" i="1" s="1"/>
  <c r="S210" i="1"/>
  <c r="R210" i="1"/>
  <c r="T209" i="1"/>
  <c r="U209" i="1" s="1"/>
  <c r="S209" i="1"/>
  <c r="R209" i="1"/>
  <c r="T208" i="1"/>
  <c r="U208" i="1" s="1"/>
  <c r="S208" i="1"/>
  <c r="R208" i="1"/>
  <c r="T207" i="1"/>
  <c r="U207" i="1" s="1"/>
  <c r="S207" i="1"/>
  <c r="R207" i="1"/>
  <c r="T206" i="1"/>
  <c r="U206" i="1" s="1"/>
  <c r="S206" i="1"/>
  <c r="R206" i="1"/>
  <c r="T205" i="1"/>
  <c r="U205" i="1" s="1"/>
  <c r="S205" i="1"/>
  <c r="R205" i="1"/>
  <c r="T204" i="1"/>
  <c r="U204" i="1" s="1"/>
  <c r="S204" i="1"/>
  <c r="R204" i="1"/>
  <c r="T203" i="1"/>
  <c r="U203" i="1" s="1"/>
  <c r="S203" i="1"/>
  <c r="R203" i="1"/>
  <c r="T202" i="1"/>
  <c r="U202" i="1" s="1"/>
  <c r="S202" i="1"/>
  <c r="R202" i="1"/>
  <c r="T201" i="1"/>
  <c r="U201" i="1" s="1"/>
  <c r="S201" i="1"/>
  <c r="R201" i="1"/>
  <c r="T200" i="1"/>
  <c r="U200" i="1" s="1"/>
  <c r="S200" i="1"/>
  <c r="R200" i="1"/>
  <c r="T199" i="1"/>
  <c r="U199" i="1" s="1"/>
  <c r="S199" i="1"/>
  <c r="R199" i="1"/>
  <c r="T198" i="1"/>
  <c r="U198" i="1" s="1"/>
  <c r="S198" i="1"/>
  <c r="R198" i="1"/>
  <c r="T197" i="1"/>
  <c r="U197" i="1" s="1"/>
  <c r="S197" i="1"/>
  <c r="R197" i="1"/>
  <c r="T196" i="1"/>
  <c r="U196" i="1" s="1"/>
  <c r="S196" i="1"/>
  <c r="R196" i="1"/>
  <c r="T195" i="1"/>
  <c r="U195" i="1" s="1"/>
  <c r="S195" i="1"/>
  <c r="R195" i="1"/>
  <c r="T194" i="1"/>
  <c r="U194" i="1" s="1"/>
  <c r="S194" i="1"/>
  <c r="R194" i="1"/>
  <c r="T193" i="1"/>
  <c r="U193" i="1" s="1"/>
  <c r="S193" i="1"/>
  <c r="R193" i="1"/>
  <c r="T192" i="1"/>
  <c r="U192" i="1" s="1"/>
  <c r="S192" i="1"/>
  <c r="R192" i="1"/>
  <c r="T191" i="1"/>
  <c r="U191" i="1" s="1"/>
  <c r="S191" i="1"/>
  <c r="R191" i="1"/>
  <c r="T190" i="1"/>
  <c r="U190" i="1" s="1"/>
  <c r="S190" i="1"/>
  <c r="R190" i="1"/>
  <c r="T189" i="1"/>
  <c r="U189" i="1" s="1"/>
  <c r="S189" i="1"/>
  <c r="R189" i="1"/>
  <c r="T188" i="1"/>
  <c r="U188" i="1" s="1"/>
  <c r="S188" i="1"/>
  <c r="R188" i="1"/>
  <c r="T187" i="1"/>
  <c r="U187" i="1" s="1"/>
  <c r="S187" i="1"/>
  <c r="R187" i="1"/>
  <c r="T186" i="1"/>
  <c r="U186" i="1" s="1"/>
  <c r="S186" i="1"/>
  <c r="R186" i="1"/>
  <c r="T185" i="1"/>
  <c r="U185" i="1" s="1"/>
  <c r="S185" i="1"/>
  <c r="R185" i="1"/>
  <c r="T184" i="1"/>
  <c r="U184" i="1" s="1"/>
  <c r="S184" i="1"/>
  <c r="R184" i="1"/>
  <c r="T183" i="1"/>
  <c r="U183" i="1" s="1"/>
  <c r="S183" i="1"/>
  <c r="R183" i="1"/>
  <c r="T182" i="1"/>
  <c r="U182" i="1" s="1"/>
  <c r="S182" i="1"/>
  <c r="R182" i="1"/>
  <c r="T181" i="1"/>
  <c r="U181" i="1" s="1"/>
  <c r="S181" i="1"/>
  <c r="R181" i="1"/>
  <c r="T180" i="1"/>
  <c r="U180" i="1" s="1"/>
  <c r="S180" i="1"/>
  <c r="R180" i="1"/>
  <c r="T179" i="1"/>
  <c r="U179" i="1" s="1"/>
  <c r="S179" i="1"/>
  <c r="R179" i="1"/>
  <c r="T178" i="1"/>
  <c r="U178" i="1" s="1"/>
  <c r="S178" i="1"/>
  <c r="R178" i="1"/>
  <c r="T177" i="1"/>
  <c r="U177" i="1" s="1"/>
  <c r="S177" i="1"/>
  <c r="R177" i="1"/>
  <c r="T176" i="1"/>
  <c r="U176" i="1" s="1"/>
  <c r="S176" i="1"/>
  <c r="R176" i="1"/>
  <c r="T175" i="1"/>
  <c r="U175" i="1" s="1"/>
  <c r="S175" i="1"/>
  <c r="R175" i="1"/>
  <c r="T174" i="1"/>
  <c r="U174" i="1" s="1"/>
  <c r="S174" i="1"/>
  <c r="R174" i="1"/>
  <c r="T173" i="1"/>
  <c r="U173" i="1" s="1"/>
  <c r="S173" i="1"/>
  <c r="R173" i="1"/>
  <c r="T172" i="1"/>
  <c r="U172" i="1" s="1"/>
  <c r="S172" i="1"/>
  <c r="R172" i="1"/>
  <c r="T171" i="1"/>
  <c r="U171" i="1" s="1"/>
  <c r="S171" i="1"/>
  <c r="R171" i="1"/>
  <c r="T170" i="1"/>
  <c r="U170" i="1" s="1"/>
  <c r="S170" i="1"/>
  <c r="R170" i="1"/>
  <c r="T169" i="1"/>
  <c r="U169" i="1" s="1"/>
  <c r="S169" i="1"/>
  <c r="R169" i="1"/>
  <c r="T168" i="1"/>
  <c r="U168" i="1" s="1"/>
  <c r="S168" i="1"/>
  <c r="R168" i="1"/>
  <c r="T167" i="1"/>
  <c r="U167" i="1" s="1"/>
  <c r="S167" i="1"/>
  <c r="R167" i="1"/>
  <c r="T166" i="1"/>
  <c r="U166" i="1" s="1"/>
  <c r="S166" i="1"/>
  <c r="R166" i="1"/>
  <c r="T165" i="1"/>
  <c r="U165" i="1" s="1"/>
  <c r="S165" i="1"/>
  <c r="R165" i="1"/>
  <c r="T164" i="1"/>
  <c r="U164" i="1" s="1"/>
  <c r="S164" i="1"/>
  <c r="R164" i="1"/>
  <c r="T163" i="1"/>
  <c r="U163" i="1" s="1"/>
  <c r="R163" i="1"/>
  <c r="S163" i="1" s="1"/>
  <c r="T162" i="1"/>
  <c r="U162" i="1" s="1"/>
  <c r="S162" i="1"/>
  <c r="R162" i="1"/>
  <c r="T161" i="1"/>
  <c r="U161" i="1" s="1"/>
  <c r="S161" i="1"/>
  <c r="R161" i="1"/>
  <c r="T160" i="1"/>
  <c r="U160" i="1" s="1"/>
  <c r="S160" i="1"/>
  <c r="R160" i="1"/>
  <c r="T159" i="1"/>
  <c r="U159" i="1" s="1"/>
  <c r="R159" i="1"/>
  <c r="S159" i="1" s="1"/>
  <c r="T158" i="1"/>
  <c r="U158" i="1" s="1"/>
  <c r="S158" i="1"/>
  <c r="R158" i="1"/>
  <c r="T157" i="1"/>
  <c r="U157" i="1" s="1"/>
  <c r="S157" i="1"/>
  <c r="R157" i="1"/>
  <c r="T156" i="1"/>
  <c r="U156" i="1" s="1"/>
  <c r="S156" i="1"/>
  <c r="R156" i="1"/>
  <c r="T155" i="1"/>
  <c r="U155" i="1" s="1"/>
  <c r="R155" i="1"/>
  <c r="S155" i="1" s="1"/>
  <c r="T154" i="1"/>
  <c r="U154" i="1" s="1"/>
  <c r="S154" i="1"/>
  <c r="R154" i="1"/>
  <c r="T153" i="1"/>
  <c r="U153" i="1" s="1"/>
  <c r="S153" i="1"/>
  <c r="R153" i="1"/>
  <c r="T152" i="1"/>
  <c r="U152" i="1" s="1"/>
  <c r="S152" i="1"/>
  <c r="R152" i="1"/>
  <c r="T151" i="1"/>
  <c r="U151" i="1" s="1"/>
  <c r="R151" i="1"/>
  <c r="S151" i="1" s="1"/>
  <c r="T150" i="1"/>
  <c r="U150" i="1" s="1"/>
  <c r="S150" i="1"/>
  <c r="R150" i="1"/>
  <c r="T149" i="1"/>
  <c r="U149" i="1" s="1"/>
  <c r="S149" i="1"/>
  <c r="R149" i="1"/>
  <c r="T148" i="1"/>
  <c r="U148" i="1" s="1"/>
  <c r="S148" i="1"/>
  <c r="R148" i="1"/>
  <c r="T147" i="1"/>
  <c r="U147" i="1" s="1"/>
  <c r="S147" i="1"/>
  <c r="R147" i="1"/>
  <c r="T146" i="1"/>
  <c r="U146" i="1" s="1"/>
  <c r="S146" i="1"/>
  <c r="R146" i="1"/>
  <c r="T145" i="1"/>
  <c r="U145" i="1" s="1"/>
  <c r="S145" i="1"/>
  <c r="R145" i="1"/>
  <c r="T144" i="1"/>
  <c r="U144" i="1" s="1"/>
  <c r="S144" i="1"/>
  <c r="R144" i="1"/>
  <c r="T143" i="1"/>
  <c r="U143" i="1" s="1"/>
  <c r="R143" i="1"/>
  <c r="S143" i="1" s="1"/>
  <c r="T142" i="1"/>
  <c r="U142" i="1" s="1"/>
  <c r="R142" i="1"/>
  <c r="S142" i="1" s="1"/>
  <c r="T141" i="1"/>
  <c r="U141" i="1" s="1"/>
  <c r="R141" i="1"/>
  <c r="S141" i="1" s="1"/>
  <c r="T140" i="1"/>
  <c r="U140" i="1" s="1"/>
  <c r="R140" i="1"/>
  <c r="S140" i="1" s="1"/>
  <c r="T139" i="1"/>
  <c r="U139" i="1" s="1"/>
  <c r="S139" i="1"/>
  <c r="R139" i="1"/>
  <c r="T138" i="1"/>
  <c r="U138" i="1" s="1"/>
  <c r="S138" i="1"/>
  <c r="R138" i="1"/>
  <c r="T137" i="1"/>
  <c r="U137" i="1" s="1"/>
  <c r="R137" i="1"/>
  <c r="S137" i="1" s="1"/>
  <c r="T136" i="1"/>
  <c r="U136" i="1" s="1"/>
  <c r="S136" i="1"/>
  <c r="R136" i="1"/>
  <c r="T135" i="1"/>
  <c r="U135" i="1" s="1"/>
  <c r="R135" i="1"/>
  <c r="S135" i="1" s="1"/>
  <c r="T134" i="1"/>
  <c r="U134" i="1" s="1"/>
  <c r="R134" i="1"/>
  <c r="S134" i="1" s="1"/>
  <c r="T133" i="1"/>
  <c r="U133" i="1" s="1"/>
  <c r="R133" i="1"/>
  <c r="S133" i="1" s="1"/>
  <c r="T132" i="1"/>
  <c r="U132" i="1" s="1"/>
  <c r="R132" i="1"/>
  <c r="S132" i="1" s="1"/>
  <c r="T131" i="1"/>
  <c r="U131" i="1" s="1"/>
  <c r="R131" i="1"/>
  <c r="S131" i="1" s="1"/>
  <c r="T130" i="1"/>
  <c r="U130" i="1" s="1"/>
  <c r="R130" i="1"/>
  <c r="S130" i="1" s="1"/>
  <c r="T129" i="1"/>
  <c r="U129" i="1" s="1"/>
  <c r="R129" i="1"/>
  <c r="S129" i="1" s="1"/>
  <c r="T128" i="1"/>
  <c r="U128" i="1" s="1"/>
  <c r="R128" i="1"/>
  <c r="S128" i="1" s="1"/>
  <c r="T127" i="1"/>
  <c r="U127" i="1" s="1"/>
  <c r="S127" i="1"/>
  <c r="R127" i="1"/>
  <c r="T126" i="1"/>
  <c r="U126" i="1" s="1"/>
  <c r="R126" i="1"/>
  <c r="S126" i="1" s="1"/>
  <c r="T125" i="1"/>
  <c r="U125" i="1" s="1"/>
  <c r="R125" i="1"/>
  <c r="S125" i="1" s="1"/>
  <c r="T124" i="1"/>
  <c r="U124" i="1" s="1"/>
  <c r="S124" i="1"/>
  <c r="R124" i="1"/>
  <c r="T123" i="1"/>
  <c r="U123" i="1" s="1"/>
  <c r="S123" i="1"/>
  <c r="R123" i="1"/>
  <c r="T122" i="1"/>
  <c r="U122" i="1" s="1"/>
  <c r="S122" i="1"/>
  <c r="R122" i="1"/>
  <c r="T121" i="1"/>
  <c r="U121" i="1" s="1"/>
  <c r="R121" i="1"/>
  <c r="S121" i="1" s="1"/>
  <c r="T120" i="1"/>
  <c r="U120" i="1" s="1"/>
  <c r="S120" i="1"/>
  <c r="R120" i="1"/>
  <c r="T119" i="1"/>
  <c r="U119" i="1" s="1"/>
  <c r="R119" i="1"/>
  <c r="S119" i="1" s="1"/>
  <c r="T118" i="1"/>
  <c r="U118" i="1" s="1"/>
  <c r="S118" i="1"/>
  <c r="R118" i="1"/>
  <c r="T117" i="1"/>
  <c r="U117" i="1" s="1"/>
  <c r="R117" i="1"/>
  <c r="S117" i="1" s="1"/>
  <c r="T116" i="1"/>
  <c r="U116" i="1" s="1"/>
  <c r="S116" i="1"/>
  <c r="R116" i="1"/>
  <c r="T115" i="1"/>
  <c r="U115" i="1" s="1"/>
  <c r="R115" i="1"/>
  <c r="S115" i="1" s="1"/>
  <c r="T114" i="1"/>
  <c r="U114" i="1" s="1"/>
  <c r="S114" i="1"/>
  <c r="R114" i="1"/>
  <c r="T113" i="1"/>
  <c r="U113" i="1" s="1"/>
  <c r="R113" i="1"/>
  <c r="S113" i="1" s="1"/>
  <c r="T112" i="1"/>
  <c r="U112" i="1" s="1"/>
  <c r="S112" i="1"/>
  <c r="R112" i="1"/>
  <c r="T111" i="1"/>
  <c r="U111" i="1" s="1"/>
  <c r="R111" i="1"/>
  <c r="S111" i="1" s="1"/>
  <c r="T110" i="1"/>
  <c r="U110" i="1" s="1"/>
  <c r="S110" i="1"/>
  <c r="R110" i="1"/>
  <c r="T109" i="1"/>
  <c r="U109" i="1" s="1"/>
  <c r="R109" i="1"/>
  <c r="S109" i="1" s="1"/>
  <c r="T108" i="1"/>
  <c r="U108" i="1" s="1"/>
  <c r="S108" i="1"/>
  <c r="R108" i="1"/>
  <c r="T107" i="1"/>
  <c r="U107" i="1" s="1"/>
  <c r="R107" i="1"/>
  <c r="S107" i="1" s="1"/>
  <c r="T106" i="1"/>
  <c r="U106" i="1" s="1"/>
  <c r="S106" i="1"/>
  <c r="R106" i="1"/>
  <c r="T105" i="1"/>
  <c r="U105" i="1" s="1"/>
  <c r="R105" i="1"/>
  <c r="S105" i="1" s="1"/>
  <c r="T104" i="1"/>
  <c r="U104" i="1" s="1"/>
  <c r="S104" i="1"/>
  <c r="R104" i="1"/>
  <c r="T103" i="1"/>
  <c r="U103" i="1" s="1"/>
  <c r="S103" i="1"/>
  <c r="R103" i="1"/>
  <c r="T102" i="1"/>
  <c r="U102" i="1" s="1"/>
  <c r="R102" i="1"/>
  <c r="S102" i="1" s="1"/>
  <c r="T101" i="1"/>
  <c r="U101" i="1" s="1"/>
  <c r="S101" i="1"/>
  <c r="R101" i="1"/>
  <c r="T100" i="1"/>
  <c r="U100" i="1" s="1"/>
  <c r="S100" i="1"/>
  <c r="R100" i="1"/>
  <c r="T99" i="1"/>
  <c r="U99" i="1" s="1"/>
  <c r="R99" i="1"/>
  <c r="S99" i="1" s="1"/>
  <c r="T98" i="1"/>
  <c r="U98" i="1" s="1"/>
  <c r="S98" i="1"/>
  <c r="R98" i="1"/>
  <c r="T97" i="1"/>
  <c r="U97" i="1" s="1"/>
  <c r="S97" i="1"/>
  <c r="R97" i="1"/>
  <c r="T96" i="1"/>
  <c r="U96" i="1" s="1"/>
  <c r="S96" i="1"/>
  <c r="R96" i="1"/>
  <c r="T95" i="1"/>
  <c r="U95" i="1" s="1"/>
  <c r="R95" i="1"/>
  <c r="S95" i="1" s="1"/>
  <c r="T94" i="1"/>
  <c r="U94" i="1" s="1"/>
  <c r="S94" i="1"/>
  <c r="R94" i="1"/>
  <c r="T93" i="1"/>
  <c r="U93" i="1" s="1"/>
  <c r="R93" i="1"/>
  <c r="S93" i="1" s="1"/>
  <c r="T92" i="1"/>
  <c r="U92" i="1" s="1"/>
  <c r="R92" i="1"/>
  <c r="S92" i="1" s="1"/>
  <c r="T91" i="1"/>
  <c r="U91" i="1" s="1"/>
  <c r="R91" i="1"/>
  <c r="S91" i="1" s="1"/>
  <c r="T90" i="1"/>
  <c r="U90" i="1" s="1"/>
  <c r="R90" i="1"/>
  <c r="S90" i="1" s="1"/>
  <c r="T89" i="1"/>
  <c r="U89" i="1" s="1"/>
  <c r="R89" i="1"/>
  <c r="S89" i="1" s="1"/>
  <c r="T88" i="1"/>
  <c r="U88" i="1" s="1"/>
  <c r="R88" i="1"/>
  <c r="S88" i="1" s="1"/>
  <c r="T87" i="1"/>
  <c r="U87" i="1" s="1"/>
  <c r="R87" i="1"/>
  <c r="S87" i="1" s="1"/>
  <c r="T86" i="1"/>
  <c r="U86" i="1" s="1"/>
  <c r="S86" i="1"/>
  <c r="R86" i="1"/>
  <c r="T85" i="1"/>
  <c r="U85" i="1" s="1"/>
  <c r="R85" i="1"/>
  <c r="S85" i="1" s="1"/>
  <c r="T84" i="1"/>
  <c r="U84" i="1" s="1"/>
  <c r="R84" i="1"/>
  <c r="S84" i="1" s="1"/>
  <c r="T83" i="1"/>
  <c r="U83" i="1" s="1"/>
  <c r="R83" i="1"/>
  <c r="S83" i="1" s="1"/>
  <c r="T82" i="1"/>
  <c r="U82" i="1" s="1"/>
  <c r="R82" i="1"/>
  <c r="S82" i="1" s="1"/>
  <c r="T81" i="1"/>
  <c r="U81" i="1" s="1"/>
  <c r="R81" i="1"/>
  <c r="S81" i="1" s="1"/>
  <c r="T80" i="1"/>
  <c r="U80" i="1" s="1"/>
  <c r="S80" i="1"/>
  <c r="R80" i="1"/>
  <c r="T79" i="1"/>
  <c r="U79" i="1" s="1"/>
  <c r="R79" i="1"/>
  <c r="S79" i="1" s="1"/>
  <c r="T78" i="1"/>
  <c r="U78" i="1" s="1"/>
  <c r="R78" i="1"/>
  <c r="S78" i="1" s="1"/>
  <c r="T77" i="1"/>
  <c r="U77" i="1" s="1"/>
  <c r="R77" i="1"/>
  <c r="S77" i="1" s="1"/>
  <c r="T76" i="1"/>
  <c r="U76" i="1" s="1"/>
  <c r="R76" i="1"/>
  <c r="S76" i="1" s="1"/>
  <c r="T75" i="1"/>
  <c r="U75" i="1" s="1"/>
  <c r="R75" i="1"/>
  <c r="S75" i="1" s="1"/>
  <c r="T74" i="1"/>
  <c r="U74" i="1" s="1"/>
  <c r="R74" i="1"/>
  <c r="S74" i="1" s="1"/>
  <c r="T73" i="1"/>
  <c r="U73" i="1" s="1"/>
  <c r="R73" i="1"/>
  <c r="S73" i="1" s="1"/>
  <c r="T72" i="1"/>
  <c r="U72" i="1" s="1"/>
  <c r="S72" i="1"/>
  <c r="R72" i="1"/>
  <c r="T71" i="1"/>
  <c r="U71" i="1" s="1"/>
  <c r="R71" i="1"/>
  <c r="S71" i="1" s="1"/>
  <c r="T70" i="1"/>
  <c r="U70" i="1" s="1"/>
  <c r="S70" i="1"/>
  <c r="R70" i="1"/>
  <c r="T69" i="1"/>
  <c r="U69" i="1" s="1"/>
  <c r="R69" i="1"/>
  <c r="S69" i="1" s="1"/>
  <c r="T68" i="1"/>
  <c r="U68" i="1" s="1"/>
  <c r="S68" i="1"/>
  <c r="R68" i="1"/>
  <c r="T67" i="1"/>
  <c r="U67" i="1" s="1"/>
  <c r="R67" i="1"/>
  <c r="S67" i="1" s="1"/>
  <c r="T66" i="1"/>
  <c r="U66" i="1" s="1"/>
  <c r="S66" i="1"/>
  <c r="R66" i="1"/>
  <c r="T65" i="1"/>
  <c r="U65" i="1" s="1"/>
  <c r="R65" i="1"/>
  <c r="S65" i="1" s="1"/>
  <c r="T64" i="1"/>
  <c r="U64" i="1" s="1"/>
  <c r="R64" i="1"/>
  <c r="S64" i="1" s="1"/>
  <c r="T63" i="1"/>
  <c r="U63" i="1" s="1"/>
  <c r="R63" i="1"/>
  <c r="S63" i="1" s="1"/>
  <c r="T62" i="1"/>
  <c r="U62" i="1" s="1"/>
  <c r="S62" i="1"/>
  <c r="R62" i="1"/>
  <c r="T61" i="1"/>
  <c r="U61" i="1" s="1"/>
  <c r="S61" i="1"/>
  <c r="R61" i="1"/>
  <c r="T60" i="1"/>
  <c r="U60" i="1" s="1"/>
  <c r="R60" i="1"/>
  <c r="S60" i="1" s="1"/>
  <c r="T59" i="1"/>
  <c r="U59" i="1" s="1"/>
  <c r="S59" i="1"/>
  <c r="R59" i="1"/>
  <c r="T58" i="1"/>
  <c r="U58" i="1" s="1"/>
  <c r="R58" i="1"/>
  <c r="S58" i="1" s="1"/>
  <c r="T57" i="1"/>
  <c r="U57" i="1" s="1"/>
  <c r="S57" i="1"/>
  <c r="R57" i="1"/>
  <c r="T56" i="1"/>
  <c r="U56" i="1" s="1"/>
  <c r="R56" i="1"/>
  <c r="S56" i="1" s="1"/>
  <c r="T55" i="1"/>
  <c r="U55" i="1" s="1"/>
  <c r="S55" i="1"/>
  <c r="R55" i="1"/>
  <c r="T54" i="1"/>
  <c r="U54" i="1" s="1"/>
  <c r="R54" i="1"/>
  <c r="S54" i="1" s="1"/>
  <c r="T53" i="1"/>
  <c r="U53" i="1" s="1"/>
  <c r="S53" i="1"/>
  <c r="R53" i="1"/>
  <c r="T52" i="1"/>
  <c r="U52" i="1" s="1"/>
  <c r="R52" i="1"/>
  <c r="S52" i="1" s="1"/>
  <c r="T51" i="1"/>
  <c r="U51" i="1" s="1"/>
  <c r="S51" i="1"/>
  <c r="R51" i="1"/>
  <c r="T50" i="1"/>
  <c r="U50" i="1" s="1"/>
  <c r="R50" i="1"/>
  <c r="S50" i="1" s="1"/>
  <c r="T49" i="1"/>
  <c r="U49" i="1" s="1"/>
  <c r="S49" i="1"/>
  <c r="R49" i="1"/>
  <c r="T48" i="1"/>
  <c r="U48" i="1" s="1"/>
  <c r="R48" i="1"/>
  <c r="S48" i="1" s="1"/>
  <c r="T47" i="1"/>
  <c r="U47" i="1" s="1"/>
  <c r="S47" i="1"/>
  <c r="R47" i="1"/>
  <c r="T46" i="1"/>
  <c r="U46" i="1" s="1"/>
  <c r="R46" i="1"/>
  <c r="S46" i="1" s="1"/>
  <c r="T45" i="1"/>
  <c r="U45" i="1" s="1"/>
  <c r="S45" i="1"/>
  <c r="R45" i="1"/>
  <c r="T44" i="1"/>
  <c r="U44" i="1" s="1"/>
  <c r="R44" i="1"/>
  <c r="S44" i="1" s="1"/>
  <c r="T43" i="1"/>
  <c r="U43" i="1" s="1"/>
  <c r="S43" i="1"/>
  <c r="R43" i="1"/>
  <c r="T42" i="1"/>
  <c r="U42" i="1" s="1"/>
  <c r="R42" i="1"/>
  <c r="S42" i="1" s="1"/>
  <c r="T41" i="1"/>
  <c r="U41" i="1" s="1"/>
  <c r="S41" i="1"/>
  <c r="R41" i="1"/>
  <c r="T40" i="1"/>
  <c r="U40" i="1" s="1"/>
  <c r="R40" i="1"/>
  <c r="S40" i="1" s="1"/>
  <c r="T39" i="1"/>
  <c r="U39" i="1" s="1"/>
  <c r="S39" i="1"/>
  <c r="R39" i="1"/>
  <c r="T38" i="1"/>
  <c r="U38" i="1" s="1"/>
  <c r="S38" i="1"/>
  <c r="R38" i="1"/>
  <c r="T37" i="1"/>
  <c r="U37" i="1" s="1"/>
  <c r="S37" i="1"/>
  <c r="R37" i="1"/>
  <c r="T36" i="1"/>
  <c r="U36" i="1" s="1"/>
  <c r="R36" i="1"/>
  <c r="S36" i="1" s="1"/>
  <c r="T35" i="1"/>
  <c r="U35" i="1" s="1"/>
  <c r="S35" i="1"/>
  <c r="R35" i="1"/>
  <c r="T34" i="1"/>
  <c r="U34" i="1" s="1"/>
  <c r="R34" i="1"/>
  <c r="S34" i="1" s="1"/>
  <c r="T33" i="1"/>
  <c r="U33" i="1" s="1"/>
  <c r="S33" i="1"/>
  <c r="R33" i="1"/>
  <c r="T32" i="1"/>
  <c r="U32" i="1" s="1"/>
  <c r="R32" i="1"/>
  <c r="S32" i="1" s="1"/>
  <c r="T31" i="1"/>
  <c r="U31" i="1" s="1"/>
  <c r="S31" i="1"/>
  <c r="R31" i="1"/>
  <c r="T30" i="1"/>
  <c r="U30" i="1" s="1"/>
  <c r="R30" i="1"/>
  <c r="S30" i="1" s="1"/>
  <c r="T29" i="1"/>
  <c r="U29" i="1" s="1"/>
  <c r="S29" i="1"/>
  <c r="R29" i="1"/>
  <c r="T28" i="1"/>
  <c r="U28" i="1" s="1"/>
  <c r="S28" i="1"/>
  <c r="R28" i="1"/>
  <c r="T27" i="1"/>
  <c r="U27" i="1" s="1"/>
  <c r="S27" i="1"/>
  <c r="R27" i="1"/>
  <c r="T26" i="1"/>
  <c r="U26" i="1" s="1"/>
  <c r="S26" i="1"/>
  <c r="R26" i="1"/>
  <c r="T25" i="1"/>
  <c r="U25" i="1" s="1"/>
  <c r="S25" i="1"/>
  <c r="R25" i="1"/>
  <c r="T24" i="1"/>
  <c r="U24" i="1" s="1"/>
  <c r="S24" i="1"/>
  <c r="R24" i="1"/>
  <c r="T23" i="1"/>
  <c r="U23" i="1" s="1"/>
  <c r="S23" i="1"/>
  <c r="R23" i="1"/>
  <c r="T22" i="1"/>
  <c r="U22" i="1" s="1"/>
  <c r="S22" i="1"/>
  <c r="R22" i="1"/>
  <c r="T21" i="1"/>
  <c r="U21" i="1" s="1"/>
  <c r="S21" i="1"/>
  <c r="R21" i="1"/>
  <c r="T20" i="1"/>
  <c r="U20" i="1" s="1"/>
  <c r="S20" i="1"/>
  <c r="R20" i="1"/>
  <c r="T19" i="1"/>
  <c r="U19" i="1" s="1"/>
  <c r="S19" i="1"/>
  <c r="R19" i="1"/>
  <c r="T18" i="1"/>
  <c r="U18" i="1" s="1"/>
  <c r="S18" i="1"/>
  <c r="R18" i="1"/>
  <c r="T17" i="1"/>
  <c r="U17" i="1" s="1"/>
  <c r="S17" i="1"/>
  <c r="R17" i="1"/>
  <c r="T16" i="1"/>
  <c r="U16" i="1" s="1"/>
  <c r="S16" i="1"/>
  <c r="R16" i="1"/>
  <c r="T15" i="1"/>
  <c r="U15" i="1" s="1"/>
  <c r="S15" i="1"/>
  <c r="R15" i="1"/>
  <c r="N15" i="1"/>
  <c r="M15" i="1"/>
  <c r="T14" i="1"/>
  <c r="U14" i="1" s="1"/>
  <c r="S14" i="1"/>
  <c r="R14" i="1"/>
  <c r="N14" i="1"/>
  <c r="M14" i="1"/>
  <c r="T13" i="1"/>
  <c r="U13" i="1" s="1"/>
  <c r="S13" i="1"/>
  <c r="R13" i="1"/>
  <c r="N13" i="1"/>
  <c r="M13" i="1"/>
  <c r="B13" i="1"/>
  <c r="T12" i="1"/>
  <c r="U12" i="1" s="1"/>
  <c r="I12" i="1" s="1"/>
  <c r="S12" i="1"/>
  <c r="R12" i="1"/>
  <c r="N12" i="1"/>
  <c r="M12" i="1"/>
  <c r="H12" i="1"/>
  <c r="G12" i="1"/>
  <c r="F12" i="1"/>
  <c r="E12" i="1"/>
  <c r="B12" i="1"/>
  <c r="P11" i="1"/>
  <c r="O11" i="1"/>
  <c r="F11" i="1"/>
  <c r="E11" i="1"/>
  <c r="D11" i="1"/>
  <c r="C11" i="1"/>
  <c r="Q8" i="1"/>
  <c r="O231" i="1" l="1"/>
  <c r="P231" i="1" s="1"/>
  <c r="O225" i="1"/>
  <c r="P225" i="1" s="1"/>
  <c r="J12" i="1"/>
  <c r="E13" i="1"/>
  <c r="L12" i="1"/>
  <c r="F13" i="1"/>
  <c r="C12" i="1"/>
  <c r="G13" i="1"/>
  <c r="B14" i="1"/>
  <c r="O227" i="1"/>
  <c r="P227" i="1" s="1"/>
  <c r="N229" i="1"/>
  <c r="K229" i="1" s="1" a="1"/>
  <c r="K229" i="1" s="1"/>
  <c r="O229" i="1" s="1"/>
  <c r="P229" i="1" s="1"/>
  <c r="M229" i="1"/>
  <c r="K228" i="1" a="1"/>
  <c r="K228" i="1" s="1"/>
  <c r="O228" i="1" s="1"/>
  <c r="P228" i="1" s="1"/>
  <c r="N232" i="1"/>
  <c r="M232" i="1"/>
  <c r="K232" i="1" a="1"/>
  <c r="K232" i="1" s="1"/>
  <c r="O232" i="1" s="1"/>
  <c r="P232" i="1" s="1"/>
  <c r="M230" i="1"/>
  <c r="M227" i="1"/>
  <c r="N230" i="1"/>
  <c r="K230" i="1" s="1" a="1"/>
  <c r="K230" i="1" s="1"/>
  <c r="O230" i="1" s="1"/>
  <c r="P230" i="1" s="1"/>
  <c r="D12" i="1" l="1" a="1"/>
  <c r="D12" i="1" s="1"/>
  <c r="V12" i="1" s="1"/>
  <c r="N16" i="1"/>
  <c r="M16" i="1"/>
  <c r="G14" i="1"/>
  <c r="F14" i="1"/>
  <c r="E14" i="1"/>
  <c r="B15" i="1"/>
  <c r="K12" i="1" l="1" a="1"/>
  <c r="K12" i="1" s="1"/>
  <c r="O12" i="1" s="1"/>
  <c r="L13" i="1"/>
  <c r="H13" i="1"/>
  <c r="I13" i="1"/>
  <c r="B16" i="1"/>
  <c r="G15" i="1"/>
  <c r="F15" i="1"/>
  <c r="E15" i="1"/>
  <c r="C13" i="1" l="1"/>
  <c r="E16" i="1"/>
  <c r="F16" i="1"/>
  <c r="B17" i="1"/>
  <c r="G16" i="1"/>
  <c r="P12" i="1"/>
  <c r="J13" i="1"/>
  <c r="M17" i="1"/>
  <c r="N17" i="1"/>
  <c r="B18" i="1" l="1"/>
  <c r="G17" i="1"/>
  <c r="F17" i="1"/>
  <c r="E17" i="1"/>
  <c r="D13" i="1" a="1"/>
  <c r="D13" i="1" s="1"/>
  <c r="V13" i="1" l="1"/>
  <c r="G18" i="1"/>
  <c r="F18" i="1"/>
  <c r="E18" i="1"/>
  <c r="B19" i="1"/>
  <c r="L14" i="1"/>
  <c r="I14" i="1"/>
  <c r="H14" i="1"/>
  <c r="K13" i="1" a="1"/>
  <c r="K13" i="1" s="1"/>
  <c r="O13" i="1" s="1"/>
  <c r="J14" i="1" l="1"/>
  <c r="D14" i="1" s="1" a="1"/>
  <c r="D14" i="1" s="1"/>
  <c r="L15" i="1" s="1"/>
  <c r="N18" i="1"/>
  <c r="M18" i="1"/>
  <c r="C14" i="1"/>
  <c r="B20" i="1"/>
  <c r="G19" i="1"/>
  <c r="F19" i="1"/>
  <c r="E19" i="1"/>
  <c r="P13" i="1"/>
  <c r="V14" i="1" l="1"/>
  <c r="E20" i="1"/>
  <c r="F20" i="1"/>
  <c r="B21" i="1"/>
  <c r="G20" i="1"/>
  <c r="I15" i="1"/>
  <c r="H15" i="1"/>
  <c r="J15" i="1" s="1"/>
  <c r="K14" i="1" a="1"/>
  <c r="K14" i="1" s="1"/>
  <c r="O14" i="1" s="1"/>
  <c r="D15" i="1" l="1" a="1"/>
  <c r="D15" i="1" s="1"/>
  <c r="C15" i="1"/>
  <c r="B22" i="1"/>
  <c r="G21" i="1"/>
  <c r="F21" i="1"/>
  <c r="E21" i="1"/>
  <c r="P14" i="1"/>
  <c r="N19" i="1"/>
  <c r="M19" i="1"/>
  <c r="L16" i="1" l="1"/>
  <c r="N20" i="1" s="1"/>
  <c r="V15" i="1"/>
  <c r="K15" i="1" a="1"/>
  <c r="K15" i="1" s="1"/>
  <c r="O15" i="1" s="1"/>
  <c r="P15" i="1" s="1"/>
  <c r="H16" i="1"/>
  <c r="I16" i="1"/>
  <c r="F22" i="1"/>
  <c r="E22" i="1"/>
  <c r="B23" i="1"/>
  <c r="G22" i="1"/>
  <c r="M20" i="1" l="1"/>
  <c r="C16" i="1"/>
  <c r="J16" i="1"/>
  <c r="D16" i="1" s="1" a="1"/>
  <c r="D16" i="1" s="1"/>
  <c r="V16" i="1" s="1"/>
  <c r="B24" i="1"/>
  <c r="G23" i="1"/>
  <c r="F23" i="1"/>
  <c r="E23" i="1"/>
  <c r="L17" i="1" l="1"/>
  <c r="H17" i="1"/>
  <c r="K16" i="1" a="1"/>
  <c r="K16" i="1" s="1"/>
  <c r="O16" i="1" s="1"/>
  <c r="P16" i="1" s="1"/>
  <c r="I17" i="1"/>
  <c r="J17" i="1" s="1"/>
  <c r="E24" i="1"/>
  <c r="F24" i="1"/>
  <c r="B25" i="1"/>
  <c r="G24" i="1"/>
  <c r="D17" i="1" l="1" a="1"/>
  <c r="D17" i="1" s="1"/>
  <c r="V17" i="1" s="1"/>
  <c r="M21" i="1"/>
  <c r="N21" i="1"/>
  <c r="C17" i="1"/>
  <c r="B26" i="1"/>
  <c r="G25" i="1"/>
  <c r="F25" i="1"/>
  <c r="E25" i="1"/>
  <c r="H18" i="1" l="1"/>
  <c r="L18" i="1"/>
  <c r="N22" i="1" s="1"/>
  <c r="K17" i="1" a="1"/>
  <c r="K17" i="1" s="1"/>
  <c r="O17" i="1" s="1"/>
  <c r="P17" i="1" s="1"/>
  <c r="I18" i="1"/>
  <c r="E26" i="1"/>
  <c r="F26" i="1"/>
  <c r="B27" i="1"/>
  <c r="G26" i="1"/>
  <c r="J18" i="1" l="1"/>
  <c r="D18" i="1" s="1" a="1"/>
  <c r="D18" i="1" s="1"/>
  <c r="M22" i="1"/>
  <c r="C18" i="1"/>
  <c r="V18" i="1"/>
  <c r="K18" i="1" a="1"/>
  <c r="K18" i="1" s="1"/>
  <c r="O18" i="1" s="1"/>
  <c r="P18" i="1" s="1"/>
  <c r="L19" i="1"/>
  <c r="C19" i="1" s="1"/>
  <c r="H19" i="1"/>
  <c r="I19" i="1"/>
  <c r="B28" i="1"/>
  <c r="G27" i="1"/>
  <c r="F27" i="1"/>
  <c r="E27" i="1"/>
  <c r="M23" i="1" l="1"/>
  <c r="N23" i="1"/>
  <c r="J19" i="1"/>
  <c r="D19" i="1" s="1" a="1"/>
  <c r="D19" i="1" s="1"/>
  <c r="V19" i="1" s="1"/>
  <c r="E28" i="1"/>
  <c r="B29" i="1"/>
  <c r="F28" i="1"/>
  <c r="G28" i="1"/>
  <c r="H20" i="1" l="1"/>
  <c r="K19" i="1" a="1"/>
  <c r="K19" i="1" s="1"/>
  <c r="O19" i="1" s="1"/>
  <c r="P19" i="1" s="1"/>
  <c r="I20" i="1"/>
  <c r="L20" i="1"/>
  <c r="G29" i="1"/>
  <c r="B30" i="1"/>
  <c r="F29" i="1"/>
  <c r="E29" i="1"/>
  <c r="N24" i="1" l="1"/>
  <c r="M24" i="1"/>
  <c r="C20" i="1"/>
  <c r="J20" i="1"/>
  <c r="D20" i="1" s="1" a="1"/>
  <c r="D20" i="1" s="1"/>
  <c r="F30" i="1"/>
  <c r="B31" i="1"/>
  <c r="E30" i="1"/>
  <c r="G30" i="1"/>
  <c r="V20" i="1" l="1"/>
  <c r="L21" i="1"/>
  <c r="I21" i="1"/>
  <c r="K20" i="1" a="1"/>
  <c r="K20" i="1" s="1"/>
  <c r="O20" i="1" s="1"/>
  <c r="P20" i="1" s="1"/>
  <c r="H21" i="1"/>
  <c r="J21" i="1" s="1"/>
  <c r="D21" i="1" s="1" a="1"/>
  <c r="D21" i="1" s="1"/>
  <c r="V21" i="1" s="1"/>
  <c r="B32" i="1"/>
  <c r="E31" i="1"/>
  <c r="G31" i="1"/>
  <c r="F31" i="1"/>
  <c r="H22" i="1" l="1"/>
  <c r="L22" i="1"/>
  <c r="C22" i="1" s="1"/>
  <c r="K21" i="1" a="1"/>
  <c r="K21" i="1" s="1"/>
  <c r="O21" i="1" s="1"/>
  <c r="P21" i="1" s="1"/>
  <c r="I22" i="1"/>
  <c r="C21" i="1"/>
  <c r="N25" i="1"/>
  <c r="M25" i="1"/>
  <c r="B33" i="1"/>
  <c r="F32" i="1"/>
  <c r="G32" i="1"/>
  <c r="E32" i="1"/>
  <c r="M26" i="1" l="1"/>
  <c r="N26" i="1"/>
  <c r="J22" i="1"/>
  <c r="D22" i="1" s="1" a="1"/>
  <c r="D22" i="1" s="1"/>
  <c r="V22" i="1" s="1"/>
  <c r="G33" i="1"/>
  <c r="F33" i="1"/>
  <c r="B34" i="1"/>
  <c r="E33" i="1"/>
  <c r="I23" i="1" l="1"/>
  <c r="K22" i="1" a="1"/>
  <c r="K22" i="1" s="1"/>
  <c r="O22" i="1" s="1"/>
  <c r="P22" i="1" s="1"/>
  <c r="L23" i="1"/>
  <c r="C23" i="1" s="1"/>
  <c r="H23" i="1"/>
  <c r="J23" i="1" s="1"/>
  <c r="B35" i="1"/>
  <c r="F34" i="1"/>
  <c r="G34" i="1"/>
  <c r="E34" i="1"/>
  <c r="M27" i="1"/>
  <c r="N27" i="1" l="1"/>
  <c r="D23" i="1" a="1"/>
  <c r="D23" i="1" s="1"/>
  <c r="I24" i="1" s="1"/>
  <c r="K23" i="1" a="1"/>
  <c r="K23" i="1" s="1"/>
  <c r="O23" i="1" s="1"/>
  <c r="P23" i="1" s="1"/>
  <c r="L24" i="1"/>
  <c r="N28" i="1" s="1"/>
  <c r="G35" i="1"/>
  <c r="F35" i="1"/>
  <c r="B36" i="1"/>
  <c r="E35" i="1"/>
  <c r="H24" i="1" l="1"/>
  <c r="V23" i="1"/>
  <c r="J24" i="1"/>
  <c r="D24" i="1" s="1" a="1"/>
  <c r="D24" i="1" s="1"/>
  <c r="L25" i="1" s="1"/>
  <c r="C24" i="1"/>
  <c r="M28" i="1"/>
  <c r="B37" i="1"/>
  <c r="F36" i="1"/>
  <c r="G36" i="1"/>
  <c r="E36" i="1"/>
  <c r="I25" i="1" l="1"/>
  <c r="K24" i="1" a="1"/>
  <c r="K24" i="1" s="1"/>
  <c r="O24" i="1" s="1"/>
  <c r="P24" i="1" s="1"/>
  <c r="H25" i="1"/>
  <c r="V24" i="1"/>
  <c r="C25" i="1"/>
  <c r="G37" i="1"/>
  <c r="F37" i="1"/>
  <c r="B38" i="1"/>
  <c r="E37" i="1"/>
  <c r="M29" i="1"/>
  <c r="N29" i="1"/>
  <c r="J25" i="1" l="1"/>
  <c r="D25" i="1" s="1" a="1"/>
  <c r="D25" i="1" s="1"/>
  <c r="H26" i="1" s="1"/>
  <c r="B39" i="1"/>
  <c r="F38" i="1"/>
  <c r="G38" i="1"/>
  <c r="E38" i="1"/>
  <c r="L26" i="1" l="1"/>
  <c r="N30" i="1" s="1"/>
  <c r="K25" i="1" a="1"/>
  <c r="K25" i="1" s="1"/>
  <c r="O25" i="1" s="1"/>
  <c r="P25" i="1" s="1"/>
  <c r="I26" i="1"/>
  <c r="J26" i="1" s="1"/>
  <c r="V25" i="1"/>
  <c r="G39" i="1"/>
  <c r="F39" i="1"/>
  <c r="B40" i="1"/>
  <c r="E39" i="1"/>
  <c r="D26" i="1" l="1" a="1"/>
  <c r="D26" i="1" s="1"/>
  <c r="L27" i="1" s="1"/>
  <c r="N31" i="1" s="1"/>
  <c r="M30" i="1"/>
  <c r="C26" i="1"/>
  <c r="B41" i="1"/>
  <c r="F40" i="1"/>
  <c r="G40" i="1"/>
  <c r="E40" i="1"/>
  <c r="M31" i="1" l="1"/>
  <c r="C27" i="1"/>
  <c r="H27" i="1"/>
  <c r="V26" i="1"/>
  <c r="I27" i="1"/>
  <c r="K26" i="1" a="1"/>
  <c r="K26" i="1" s="1"/>
  <c r="O26" i="1" s="1"/>
  <c r="P26" i="1" s="1"/>
  <c r="G41" i="1"/>
  <c r="F41" i="1"/>
  <c r="B42" i="1"/>
  <c r="E41" i="1"/>
  <c r="J27" i="1" l="1"/>
  <c r="D27" i="1" s="1" a="1"/>
  <c r="D27" i="1" s="1"/>
  <c r="H28" i="1" s="1"/>
  <c r="B43" i="1"/>
  <c r="F42" i="1"/>
  <c r="G42" i="1"/>
  <c r="E42" i="1"/>
  <c r="I28" i="1" l="1"/>
  <c r="V27" i="1"/>
  <c r="L28" i="1"/>
  <c r="K27" i="1" a="1"/>
  <c r="K27" i="1" s="1"/>
  <c r="O27" i="1" s="1"/>
  <c r="P27" i="1" s="1"/>
  <c r="J28" i="1"/>
  <c r="D28" i="1" s="1" a="1"/>
  <c r="D28" i="1" s="1"/>
  <c r="L29" i="1" s="1"/>
  <c r="M32" i="1"/>
  <c r="N32" i="1"/>
  <c r="C28" i="1"/>
  <c r="B44" i="1"/>
  <c r="F43" i="1"/>
  <c r="G43" i="1"/>
  <c r="E43" i="1"/>
  <c r="K28" i="1" l="1" a="1"/>
  <c r="K28" i="1" s="1"/>
  <c r="O28" i="1" s="1"/>
  <c r="P28" i="1" s="1"/>
  <c r="I29" i="1"/>
  <c r="H29" i="1"/>
  <c r="V28" i="1"/>
  <c r="N33" i="1"/>
  <c r="M33" i="1"/>
  <c r="C29" i="1"/>
  <c r="B45" i="1"/>
  <c r="F44" i="1"/>
  <c r="G44" i="1"/>
  <c r="E44" i="1"/>
  <c r="J29" i="1" l="1"/>
  <c r="D29" i="1" s="1" a="1"/>
  <c r="D29" i="1" s="1"/>
  <c r="V29" i="1" s="1"/>
  <c r="B46" i="1"/>
  <c r="G45" i="1"/>
  <c r="F45" i="1"/>
  <c r="E45" i="1"/>
  <c r="L30" i="1" l="1"/>
  <c r="M34" i="1" s="1"/>
  <c r="I30" i="1"/>
  <c r="H30" i="1"/>
  <c r="K29" i="1" a="1"/>
  <c r="K29" i="1" s="1"/>
  <c r="O29" i="1" s="1"/>
  <c r="P29" i="1" s="1"/>
  <c r="N34" i="1"/>
  <c r="C30" i="1"/>
  <c r="B47" i="1"/>
  <c r="F46" i="1"/>
  <c r="G46" i="1"/>
  <c r="E46" i="1"/>
  <c r="J30" i="1" l="1"/>
  <c r="D30" i="1" s="1" a="1"/>
  <c r="D30" i="1" s="1"/>
  <c r="L31" i="1" s="1"/>
  <c r="B48" i="1"/>
  <c r="G47" i="1"/>
  <c r="F47" i="1"/>
  <c r="E47" i="1"/>
  <c r="I31" i="1" l="1"/>
  <c r="K30" i="1" a="1"/>
  <c r="K30" i="1" s="1"/>
  <c r="O30" i="1" s="1"/>
  <c r="P30" i="1" s="1"/>
  <c r="H31" i="1"/>
  <c r="V30" i="1"/>
  <c r="M35" i="1"/>
  <c r="N35" i="1"/>
  <c r="C31" i="1"/>
  <c r="B49" i="1"/>
  <c r="F48" i="1"/>
  <c r="G48" i="1"/>
  <c r="E48" i="1"/>
  <c r="J31" i="1" l="1"/>
  <c r="D31" i="1" s="1" a="1"/>
  <c r="D31" i="1" s="1"/>
  <c r="V31" i="1" s="1"/>
  <c r="B50" i="1"/>
  <c r="G49" i="1"/>
  <c r="F49" i="1"/>
  <c r="E49" i="1"/>
  <c r="L32" i="1" l="1"/>
  <c r="I32" i="1"/>
  <c r="K31" i="1" a="1"/>
  <c r="K31" i="1" s="1"/>
  <c r="O31" i="1" s="1"/>
  <c r="P31" i="1" s="1"/>
  <c r="H32" i="1"/>
  <c r="C32" i="1"/>
  <c r="N36" i="1"/>
  <c r="M36" i="1"/>
  <c r="J32" i="1"/>
  <c r="D32" i="1" s="1" a="1"/>
  <c r="D32" i="1" s="1"/>
  <c r="B51" i="1"/>
  <c r="F50" i="1"/>
  <c r="G50" i="1"/>
  <c r="E50" i="1"/>
  <c r="H33" i="1" l="1"/>
  <c r="I33" i="1"/>
  <c r="V32" i="1"/>
  <c r="K32" i="1" a="1"/>
  <c r="K32" i="1" s="1"/>
  <c r="O32" i="1" s="1"/>
  <c r="P32" i="1" s="1"/>
  <c r="L33" i="1"/>
  <c r="B52" i="1"/>
  <c r="G51" i="1"/>
  <c r="F51" i="1"/>
  <c r="E51" i="1"/>
  <c r="C33" i="1" l="1"/>
  <c r="N37" i="1"/>
  <c r="M37" i="1"/>
  <c r="J33" i="1"/>
  <c r="D33" i="1" s="1" a="1"/>
  <c r="D33" i="1" s="1"/>
  <c r="B53" i="1"/>
  <c r="F52" i="1"/>
  <c r="E52" i="1"/>
  <c r="G52" i="1"/>
  <c r="H34" i="1" l="1"/>
  <c r="L34" i="1"/>
  <c r="C34" i="1" s="1"/>
  <c r="V33" i="1"/>
  <c r="I34" i="1"/>
  <c r="K33" i="1" a="1"/>
  <c r="K33" i="1" s="1"/>
  <c r="O33" i="1" s="1"/>
  <c r="P33" i="1" s="1"/>
  <c r="B54" i="1"/>
  <c r="G53" i="1"/>
  <c r="F53" i="1"/>
  <c r="E53" i="1"/>
  <c r="J34" i="1" l="1"/>
  <c r="D34" i="1" s="1" a="1"/>
  <c r="D34" i="1" s="1"/>
  <c r="M38" i="1"/>
  <c r="N38" i="1"/>
  <c r="B55" i="1"/>
  <c r="F54" i="1"/>
  <c r="E54" i="1"/>
  <c r="G54" i="1"/>
  <c r="V34" i="1" l="1"/>
  <c r="L35" i="1"/>
  <c r="H35" i="1"/>
  <c r="K34" i="1" a="1"/>
  <c r="K34" i="1" s="1"/>
  <c r="O34" i="1" s="1"/>
  <c r="P34" i="1" s="1"/>
  <c r="I35" i="1"/>
  <c r="B56" i="1"/>
  <c r="G55" i="1"/>
  <c r="F55" i="1"/>
  <c r="E55" i="1"/>
  <c r="J35" i="1" l="1"/>
  <c r="D35" i="1" s="1" a="1"/>
  <c r="D35" i="1" s="1"/>
  <c r="N39" i="1"/>
  <c r="M39" i="1"/>
  <c r="C35" i="1"/>
  <c r="B57" i="1"/>
  <c r="G56" i="1"/>
  <c r="F56" i="1"/>
  <c r="E56" i="1"/>
  <c r="V35" i="1" l="1"/>
  <c r="K35" i="1" a="1"/>
  <c r="K35" i="1" s="1"/>
  <c r="O35" i="1" s="1"/>
  <c r="P35" i="1" s="1"/>
  <c r="I36" i="1"/>
  <c r="H36" i="1"/>
  <c r="J36" i="1" s="1"/>
  <c r="L36" i="1"/>
  <c r="B58" i="1"/>
  <c r="G57" i="1"/>
  <c r="F57" i="1"/>
  <c r="E57" i="1"/>
  <c r="C36" i="1" l="1"/>
  <c r="N40" i="1"/>
  <c r="M40" i="1"/>
  <c r="D36" i="1" a="1"/>
  <c r="D36" i="1" s="1"/>
  <c r="B59" i="1"/>
  <c r="G58" i="1"/>
  <c r="F58" i="1"/>
  <c r="E58" i="1"/>
  <c r="H37" i="1" l="1"/>
  <c r="K36" i="1" a="1"/>
  <c r="K36" i="1" s="1"/>
  <c r="O36" i="1" s="1"/>
  <c r="P36" i="1" s="1"/>
  <c r="I37" i="1"/>
  <c r="L37" i="1"/>
  <c r="V36" i="1"/>
  <c r="B60" i="1"/>
  <c r="G59" i="1"/>
  <c r="F59" i="1"/>
  <c r="E59" i="1"/>
  <c r="J37" i="1" l="1"/>
  <c r="D37" i="1" s="1" a="1"/>
  <c r="D37" i="1" s="1"/>
  <c r="C37" i="1"/>
  <c r="M41" i="1"/>
  <c r="N41" i="1"/>
  <c r="B61" i="1"/>
  <c r="G60" i="1"/>
  <c r="F60" i="1"/>
  <c r="E60" i="1"/>
  <c r="I38" i="1" l="1"/>
  <c r="H38" i="1"/>
  <c r="J38" i="1" s="1"/>
  <c r="L38" i="1"/>
  <c r="M42" i="1" s="1"/>
  <c r="K37" i="1" a="1"/>
  <c r="K37" i="1" s="1"/>
  <c r="O37" i="1" s="1"/>
  <c r="P37" i="1" s="1"/>
  <c r="V37" i="1"/>
  <c r="B62" i="1"/>
  <c r="G61" i="1"/>
  <c r="F61" i="1"/>
  <c r="E61" i="1"/>
  <c r="D38" i="1" l="1" a="1"/>
  <c r="D38" i="1" s="1"/>
  <c r="K38" i="1" s="1" a="1"/>
  <c r="K38" i="1" s="1"/>
  <c r="O38" i="1" s="1"/>
  <c r="P38" i="1" s="1"/>
  <c r="C38" i="1"/>
  <c r="N42" i="1"/>
  <c r="H39" i="1"/>
  <c r="L39" i="1"/>
  <c r="V38" i="1"/>
  <c r="I39" i="1"/>
  <c r="G62" i="1"/>
  <c r="B63" i="1"/>
  <c r="F62" i="1"/>
  <c r="E62" i="1"/>
  <c r="M43" i="1" l="1"/>
  <c r="N43" i="1"/>
  <c r="C39" i="1"/>
  <c r="J39" i="1"/>
  <c r="D39" i="1" s="1" a="1"/>
  <c r="D39" i="1" s="1"/>
  <c r="B64" i="1"/>
  <c r="E63" i="1"/>
  <c r="G63" i="1"/>
  <c r="F63" i="1"/>
  <c r="L40" i="1" l="1"/>
  <c r="K39" i="1" a="1"/>
  <c r="K39" i="1" s="1"/>
  <c r="O39" i="1" s="1"/>
  <c r="P39" i="1" s="1"/>
  <c r="H40" i="1"/>
  <c r="I40" i="1"/>
  <c r="V39" i="1"/>
  <c r="G64" i="1"/>
  <c r="F64" i="1"/>
  <c r="E64" i="1"/>
  <c r="B65" i="1"/>
  <c r="J40" i="1" l="1"/>
  <c r="D40" i="1" s="1" a="1"/>
  <c r="D40" i="1" s="1"/>
  <c r="V40" i="1" s="1"/>
  <c r="C40" i="1"/>
  <c r="M44" i="1"/>
  <c r="N44" i="1"/>
  <c r="B66" i="1"/>
  <c r="E65" i="1"/>
  <c r="G65" i="1"/>
  <c r="F65" i="1"/>
  <c r="K40" i="1" l="1" a="1"/>
  <c r="K40" i="1" s="1"/>
  <c r="O40" i="1" s="1"/>
  <c r="P40" i="1" s="1"/>
  <c r="I41" i="1"/>
  <c r="L41" i="1"/>
  <c r="C41" i="1" s="1"/>
  <c r="H41" i="1"/>
  <c r="N45" i="1"/>
  <c r="G66" i="1"/>
  <c r="B67" i="1"/>
  <c r="F66" i="1"/>
  <c r="E66" i="1"/>
  <c r="M45" i="1" l="1"/>
  <c r="J41" i="1"/>
  <c r="D41" i="1" s="1" a="1"/>
  <c r="D41" i="1" s="1"/>
  <c r="V41" i="1" s="1"/>
  <c r="B68" i="1"/>
  <c r="E67" i="1"/>
  <c r="F67" i="1"/>
  <c r="G67" i="1"/>
  <c r="I42" i="1" l="1"/>
  <c r="K41" i="1" a="1"/>
  <c r="K41" i="1" s="1"/>
  <c r="O41" i="1" s="1"/>
  <c r="P41" i="1" s="1"/>
  <c r="H42" i="1"/>
  <c r="J42" i="1" s="1"/>
  <c r="L42" i="1"/>
  <c r="C42" i="1" s="1"/>
  <c r="G68" i="1"/>
  <c r="E68" i="1"/>
  <c r="B69" i="1"/>
  <c r="F68" i="1"/>
  <c r="D42" i="1" l="1" a="1"/>
  <c r="D42" i="1" s="1"/>
  <c r="L43" i="1" s="1"/>
  <c r="M46" i="1"/>
  <c r="N46" i="1"/>
  <c r="V42" i="1"/>
  <c r="I43" i="1"/>
  <c r="H43" i="1"/>
  <c r="J43" i="1" s="1"/>
  <c r="K42" i="1" a="1"/>
  <c r="K42" i="1" s="1"/>
  <c r="O42" i="1" s="1"/>
  <c r="P42" i="1" s="1"/>
  <c r="B70" i="1"/>
  <c r="E69" i="1"/>
  <c r="G69" i="1"/>
  <c r="F69" i="1"/>
  <c r="D43" i="1" l="1" a="1"/>
  <c r="D43" i="1" s="1"/>
  <c r="C43" i="1"/>
  <c r="N47" i="1"/>
  <c r="M47" i="1"/>
  <c r="G70" i="1"/>
  <c r="F70" i="1"/>
  <c r="E70" i="1"/>
  <c r="B71" i="1"/>
  <c r="H44" i="1" l="1"/>
  <c r="K43" i="1" a="1"/>
  <c r="K43" i="1" s="1"/>
  <c r="O43" i="1" s="1"/>
  <c r="P43" i="1" s="1"/>
  <c r="V43" i="1"/>
  <c r="L44" i="1"/>
  <c r="I44" i="1"/>
  <c r="B72" i="1"/>
  <c r="E71" i="1"/>
  <c r="G71" i="1"/>
  <c r="F71" i="1"/>
  <c r="N48" i="1" l="1"/>
  <c r="M48" i="1"/>
  <c r="J44" i="1"/>
  <c r="D44" i="1" s="1" a="1"/>
  <c r="D44" i="1" s="1"/>
  <c r="C44" i="1"/>
  <c r="G72" i="1"/>
  <c r="B73" i="1"/>
  <c r="F72" i="1"/>
  <c r="E72" i="1"/>
  <c r="V44" i="1" l="1"/>
  <c r="I45" i="1"/>
  <c r="H45" i="1"/>
  <c r="L45" i="1"/>
  <c r="K44" i="1" a="1"/>
  <c r="K44" i="1" s="1"/>
  <c r="O44" i="1" s="1"/>
  <c r="P44" i="1" s="1"/>
  <c r="C45" i="1"/>
  <c r="B74" i="1"/>
  <c r="E73" i="1"/>
  <c r="F73" i="1"/>
  <c r="G73" i="1"/>
  <c r="J45" i="1" l="1"/>
  <c r="D45" i="1" s="1" a="1"/>
  <c r="D45" i="1" s="1"/>
  <c r="K45" i="1" s="1" a="1"/>
  <c r="K45" i="1" s="1"/>
  <c r="O45" i="1" s="1"/>
  <c r="P45" i="1" s="1"/>
  <c r="I46" i="1"/>
  <c r="L46" i="1"/>
  <c r="N50" i="1" s="1"/>
  <c r="V45" i="1"/>
  <c r="H46" i="1"/>
  <c r="M49" i="1"/>
  <c r="N49" i="1"/>
  <c r="G74" i="1"/>
  <c r="F74" i="1"/>
  <c r="E74" i="1"/>
  <c r="B75" i="1"/>
  <c r="J46" i="1" l="1"/>
  <c r="D46" i="1" s="1" a="1"/>
  <c r="D46" i="1" s="1"/>
  <c r="V46" i="1" s="1"/>
  <c r="C46" i="1"/>
  <c r="M50" i="1"/>
  <c r="B76" i="1"/>
  <c r="E75" i="1"/>
  <c r="G75" i="1"/>
  <c r="F75" i="1"/>
  <c r="L47" i="1" l="1"/>
  <c r="M51" i="1" s="1"/>
  <c r="I47" i="1"/>
  <c r="K46" i="1" a="1"/>
  <c r="K46" i="1" s="1"/>
  <c r="O46" i="1" s="1"/>
  <c r="P46" i="1" s="1"/>
  <c r="H47" i="1"/>
  <c r="G76" i="1"/>
  <c r="F76" i="1"/>
  <c r="E76" i="1"/>
  <c r="B77" i="1"/>
  <c r="J47" i="1" l="1"/>
  <c r="D47" i="1" s="1" a="1"/>
  <c r="D47" i="1" s="1"/>
  <c r="V47" i="1" s="1"/>
  <c r="N51" i="1"/>
  <c r="C47" i="1"/>
  <c r="B78" i="1"/>
  <c r="E77" i="1"/>
  <c r="G77" i="1"/>
  <c r="F77" i="1"/>
  <c r="K47" i="1" l="1" a="1"/>
  <c r="K47" i="1" s="1"/>
  <c r="O47" i="1" s="1"/>
  <c r="P47" i="1" s="1"/>
  <c r="L48" i="1"/>
  <c r="N52" i="1" s="1"/>
  <c r="H48" i="1"/>
  <c r="I48" i="1"/>
  <c r="G78" i="1"/>
  <c r="E78" i="1"/>
  <c r="B79" i="1"/>
  <c r="F78" i="1"/>
  <c r="J48" i="1" l="1"/>
  <c r="D48" i="1" s="1" a="1"/>
  <c r="D48" i="1" s="1"/>
  <c r="V48" i="1" s="1"/>
  <c r="M52" i="1"/>
  <c r="C48" i="1"/>
  <c r="B80" i="1"/>
  <c r="E79" i="1"/>
  <c r="G79" i="1"/>
  <c r="F79" i="1"/>
  <c r="I49" i="1" l="1"/>
  <c r="J49" i="1" s="1"/>
  <c r="D49" i="1" s="1" a="1"/>
  <c r="D49" i="1" s="1"/>
  <c r="V49" i="1" s="1"/>
  <c r="K48" i="1" a="1"/>
  <c r="K48" i="1" s="1"/>
  <c r="O48" i="1" s="1"/>
  <c r="P48" i="1" s="1"/>
  <c r="H49" i="1"/>
  <c r="L49" i="1"/>
  <c r="C49" i="1" s="1"/>
  <c r="N53" i="1"/>
  <c r="M53" i="1"/>
  <c r="G80" i="1"/>
  <c r="F80" i="1"/>
  <c r="E80" i="1"/>
  <c r="B81" i="1"/>
  <c r="H50" i="1" l="1"/>
  <c r="L50" i="1"/>
  <c r="C50" i="1" s="1"/>
  <c r="K49" i="1" a="1"/>
  <c r="K49" i="1" s="1"/>
  <c r="O49" i="1" s="1"/>
  <c r="P49" i="1" s="1"/>
  <c r="I50" i="1"/>
  <c r="J50" i="1"/>
  <c r="D50" i="1" s="1" a="1"/>
  <c r="D50" i="1" s="1"/>
  <c r="H51" i="1" s="1"/>
  <c r="B82" i="1"/>
  <c r="E81" i="1"/>
  <c r="G81" i="1"/>
  <c r="F81" i="1"/>
  <c r="N54" i="1"/>
  <c r="M54" i="1"/>
  <c r="K50" i="1" l="1" a="1"/>
  <c r="K50" i="1" s="1"/>
  <c r="O50" i="1" s="1"/>
  <c r="P50" i="1" s="1"/>
  <c r="L51" i="1"/>
  <c r="C51" i="1" s="1"/>
  <c r="V50" i="1"/>
  <c r="I51" i="1"/>
  <c r="J51" i="1" s="1"/>
  <c r="G82" i="1"/>
  <c r="B83" i="1"/>
  <c r="F82" i="1"/>
  <c r="E82" i="1"/>
  <c r="D51" i="1" l="1" a="1"/>
  <c r="D51" i="1" s="1"/>
  <c r="I52" i="1" s="1"/>
  <c r="M55" i="1"/>
  <c r="N55" i="1"/>
  <c r="B84" i="1"/>
  <c r="E83" i="1"/>
  <c r="G83" i="1"/>
  <c r="F83" i="1"/>
  <c r="K51" i="1" l="1" a="1"/>
  <c r="K51" i="1" s="1"/>
  <c r="O51" i="1" s="1"/>
  <c r="P51" i="1" s="1"/>
  <c r="H52" i="1"/>
  <c r="J52" i="1" s="1"/>
  <c r="D52" i="1" s="1" a="1"/>
  <c r="D52" i="1" s="1"/>
  <c r="L53" i="1" s="1"/>
  <c r="L52" i="1"/>
  <c r="V51" i="1"/>
  <c r="G84" i="1"/>
  <c r="F84" i="1"/>
  <c r="E84" i="1"/>
  <c r="B85" i="1"/>
  <c r="K52" i="1" l="1" a="1"/>
  <c r="K52" i="1" s="1"/>
  <c r="O52" i="1" s="1"/>
  <c r="P52" i="1" s="1"/>
  <c r="H53" i="1"/>
  <c r="J53" i="1" s="1"/>
  <c r="D53" i="1" s="1" a="1"/>
  <c r="D53" i="1" s="1"/>
  <c r="V52" i="1"/>
  <c r="I53" i="1"/>
  <c r="C52" i="1"/>
  <c r="M56" i="1"/>
  <c r="N56" i="1"/>
  <c r="B86" i="1"/>
  <c r="E85" i="1"/>
  <c r="G85" i="1"/>
  <c r="F85" i="1"/>
  <c r="N57" i="1"/>
  <c r="M57" i="1"/>
  <c r="C53" i="1"/>
  <c r="V53" i="1" l="1"/>
  <c r="H54" i="1"/>
  <c r="L54" i="1"/>
  <c r="I54" i="1"/>
  <c r="K53" i="1" a="1"/>
  <c r="K53" i="1" s="1"/>
  <c r="O53" i="1" s="1"/>
  <c r="P53" i="1" s="1"/>
  <c r="G86" i="1"/>
  <c r="B87" i="1"/>
  <c r="F86" i="1"/>
  <c r="E86" i="1"/>
  <c r="J54" i="1" l="1"/>
  <c r="D54" i="1" s="1" a="1"/>
  <c r="D54" i="1" s="1"/>
  <c r="B88" i="1"/>
  <c r="E87" i="1"/>
  <c r="F87" i="1"/>
  <c r="G87" i="1"/>
  <c r="N58" i="1"/>
  <c r="M58" i="1"/>
  <c r="C54" i="1"/>
  <c r="V54" i="1" l="1"/>
  <c r="I55" i="1"/>
  <c r="H55" i="1"/>
  <c r="L55" i="1"/>
  <c r="K54" i="1" a="1"/>
  <c r="K54" i="1" s="1"/>
  <c r="O54" i="1" s="1"/>
  <c r="P54" i="1" s="1"/>
  <c r="G88" i="1"/>
  <c r="F88" i="1"/>
  <c r="E88" i="1"/>
  <c r="B89" i="1"/>
  <c r="J55" i="1" l="1"/>
  <c r="D55" i="1" s="1" a="1"/>
  <c r="D55" i="1" s="1"/>
  <c r="N59" i="1"/>
  <c r="M59" i="1"/>
  <c r="C55" i="1"/>
  <c r="B90" i="1"/>
  <c r="E89" i="1"/>
  <c r="G89" i="1"/>
  <c r="F89" i="1"/>
  <c r="V55" i="1" l="1"/>
  <c r="K55" i="1" a="1"/>
  <c r="K55" i="1" s="1"/>
  <c r="O55" i="1" s="1"/>
  <c r="P55" i="1" s="1"/>
  <c r="I56" i="1"/>
  <c r="L56" i="1"/>
  <c r="M60" i="1" s="1"/>
  <c r="H56" i="1"/>
  <c r="G90" i="1"/>
  <c r="F90" i="1"/>
  <c r="E90" i="1"/>
  <c r="B91" i="1"/>
  <c r="J56" i="1" l="1"/>
  <c r="D56" i="1" s="1" a="1"/>
  <c r="D56" i="1" s="1"/>
  <c r="H57" i="1" s="1"/>
  <c r="N60" i="1"/>
  <c r="C56" i="1"/>
  <c r="B92" i="1"/>
  <c r="E91" i="1"/>
  <c r="G91" i="1"/>
  <c r="F91" i="1"/>
  <c r="L57" i="1" l="1"/>
  <c r="N61" i="1" s="1"/>
  <c r="K56" i="1" a="1"/>
  <c r="K56" i="1" s="1"/>
  <c r="O56" i="1" s="1"/>
  <c r="P56" i="1" s="1"/>
  <c r="I57" i="1"/>
  <c r="J57" i="1" s="1"/>
  <c r="V56" i="1"/>
  <c r="G92" i="1"/>
  <c r="E92" i="1"/>
  <c r="B93" i="1"/>
  <c r="F92" i="1"/>
  <c r="D57" i="1" l="1" a="1"/>
  <c r="D57" i="1" s="1"/>
  <c r="V57" i="1" s="1"/>
  <c r="M61" i="1"/>
  <c r="C57" i="1"/>
  <c r="K57" i="1" a="1"/>
  <c r="K57" i="1" s="1"/>
  <c r="O57" i="1" s="1"/>
  <c r="P57" i="1" s="1"/>
  <c r="L58" i="1"/>
  <c r="N62" i="1" s="1"/>
  <c r="H58" i="1"/>
  <c r="I58" i="1"/>
  <c r="B94" i="1"/>
  <c r="E93" i="1"/>
  <c r="G93" i="1"/>
  <c r="F93" i="1"/>
  <c r="C58" i="1" l="1"/>
  <c r="M62" i="1"/>
  <c r="J58" i="1"/>
  <c r="D58" i="1" s="1" a="1"/>
  <c r="D58" i="1" s="1"/>
  <c r="V58" i="1" s="1"/>
  <c r="G94" i="1"/>
  <c r="F94" i="1"/>
  <c r="E94" i="1"/>
  <c r="B95" i="1"/>
  <c r="K58" i="1" l="1" a="1"/>
  <c r="K58" i="1" s="1"/>
  <c r="O58" i="1" s="1"/>
  <c r="P58" i="1" s="1"/>
  <c r="I59" i="1"/>
  <c r="L59" i="1"/>
  <c r="M63" i="1" s="1"/>
  <c r="H59" i="1"/>
  <c r="B96" i="1"/>
  <c r="E95" i="1"/>
  <c r="G95" i="1"/>
  <c r="F95" i="1"/>
  <c r="J59" i="1" l="1"/>
  <c r="C59" i="1"/>
  <c r="N63" i="1"/>
  <c r="D59" i="1" a="1"/>
  <c r="D59" i="1" s="1"/>
  <c r="H60" i="1" s="1"/>
  <c r="G96" i="1"/>
  <c r="B97" i="1"/>
  <c r="E96" i="1"/>
  <c r="F96" i="1"/>
  <c r="K59" i="1" l="1" a="1"/>
  <c r="K59" i="1" s="1"/>
  <c r="O59" i="1" s="1"/>
  <c r="P59" i="1" s="1"/>
  <c r="I60" i="1"/>
  <c r="V59" i="1"/>
  <c r="L60" i="1"/>
  <c r="C60" i="1" s="1"/>
  <c r="J60" i="1"/>
  <c r="D60" i="1" s="1" a="1"/>
  <c r="D60" i="1" s="1"/>
  <c r="B98" i="1"/>
  <c r="G97" i="1"/>
  <c r="E97" i="1"/>
  <c r="F97" i="1"/>
  <c r="M64" i="1" l="1"/>
  <c r="N64" i="1"/>
  <c r="V60" i="1"/>
  <c r="L61" i="1"/>
  <c r="C61" i="1" s="1"/>
  <c r="I61" i="1"/>
  <c r="H61" i="1"/>
  <c r="K60" i="1" a="1"/>
  <c r="K60" i="1" s="1"/>
  <c r="O60" i="1" s="1"/>
  <c r="P60" i="1" s="1"/>
  <c r="B99" i="1"/>
  <c r="E98" i="1"/>
  <c r="F98" i="1"/>
  <c r="G98" i="1"/>
  <c r="J61" i="1" l="1"/>
  <c r="D61" i="1" s="1" a="1"/>
  <c r="D61" i="1" s="1"/>
  <c r="N65" i="1"/>
  <c r="M65" i="1"/>
  <c r="B100" i="1"/>
  <c r="F99" i="1"/>
  <c r="G99" i="1"/>
  <c r="E99" i="1"/>
  <c r="I62" i="1" l="1"/>
  <c r="V61" i="1"/>
  <c r="K61" i="1" a="1"/>
  <c r="K61" i="1" s="1"/>
  <c r="O61" i="1" s="1"/>
  <c r="P61" i="1" s="1"/>
  <c r="H62" i="1"/>
  <c r="L62" i="1"/>
  <c r="C62" i="1" s="1"/>
  <c r="G100" i="1"/>
  <c r="B101" i="1"/>
  <c r="E100" i="1"/>
  <c r="F100" i="1"/>
  <c r="J62" i="1" l="1"/>
  <c r="D62" i="1" s="1" a="1"/>
  <c r="D62" i="1" s="1"/>
  <c r="M66" i="1"/>
  <c r="N66" i="1"/>
  <c r="B102" i="1"/>
  <c r="F101" i="1"/>
  <c r="E101" i="1"/>
  <c r="G101" i="1"/>
  <c r="V62" i="1" l="1"/>
  <c r="I63" i="1"/>
  <c r="H63" i="1"/>
  <c r="L63" i="1"/>
  <c r="C63" i="1" s="1"/>
  <c r="K62" i="1" a="1"/>
  <c r="K62" i="1" s="1"/>
  <c r="O62" i="1" s="1"/>
  <c r="P62" i="1" s="1"/>
  <c r="G102" i="1"/>
  <c r="B103" i="1"/>
  <c r="E102" i="1"/>
  <c r="F102" i="1"/>
  <c r="J63" i="1" l="1"/>
  <c r="D63" i="1" s="1" a="1"/>
  <c r="D63" i="1" s="1"/>
  <c r="M67" i="1"/>
  <c r="N67" i="1"/>
  <c r="B104" i="1"/>
  <c r="E103" i="1"/>
  <c r="F103" i="1"/>
  <c r="G103" i="1"/>
  <c r="L64" i="1" l="1"/>
  <c r="M68" i="1" s="1"/>
  <c r="V63" i="1"/>
  <c r="K63" i="1" a="1"/>
  <c r="K63" i="1" s="1"/>
  <c r="O63" i="1" s="1"/>
  <c r="P63" i="1" s="1"/>
  <c r="H64" i="1"/>
  <c r="I64" i="1"/>
  <c r="B105" i="1"/>
  <c r="E104" i="1"/>
  <c r="G104" i="1"/>
  <c r="F104" i="1"/>
  <c r="N68" i="1" l="1"/>
  <c r="J64" i="1"/>
  <c r="D64" i="1" s="1" a="1"/>
  <c r="D64" i="1" s="1"/>
  <c r="I65" i="1" s="1"/>
  <c r="C64" i="1"/>
  <c r="B106" i="1"/>
  <c r="G105" i="1"/>
  <c r="E105" i="1"/>
  <c r="F105" i="1"/>
  <c r="L65" i="1" l="1"/>
  <c r="M69" i="1" s="1"/>
  <c r="K64" i="1" a="1"/>
  <c r="K64" i="1" s="1"/>
  <c r="O64" i="1" s="1"/>
  <c r="P64" i="1" s="1"/>
  <c r="H65" i="1"/>
  <c r="J65" i="1" s="1"/>
  <c r="V64" i="1"/>
  <c r="B107" i="1"/>
  <c r="E106" i="1"/>
  <c r="G106" i="1"/>
  <c r="F106" i="1"/>
  <c r="D65" i="1" l="1" a="1"/>
  <c r="D65" i="1" s="1"/>
  <c r="V65" i="1" s="1"/>
  <c r="C65" i="1"/>
  <c r="N69" i="1"/>
  <c r="B108" i="1"/>
  <c r="G107" i="1"/>
  <c r="E107" i="1"/>
  <c r="F107" i="1"/>
  <c r="K65" i="1" l="1" a="1"/>
  <c r="K65" i="1" s="1"/>
  <c r="O65" i="1" s="1"/>
  <c r="P65" i="1" s="1"/>
  <c r="L66" i="1"/>
  <c r="C66" i="1" s="1"/>
  <c r="H66" i="1"/>
  <c r="I66" i="1"/>
  <c r="B109" i="1"/>
  <c r="E108" i="1"/>
  <c r="G108" i="1"/>
  <c r="F108" i="1"/>
  <c r="J66" i="1" l="1"/>
  <c r="D66" i="1" s="1" a="1"/>
  <c r="D66" i="1" s="1"/>
  <c r="N70" i="1"/>
  <c r="M70" i="1"/>
  <c r="V66" i="1"/>
  <c r="H67" i="1"/>
  <c r="L67" i="1"/>
  <c r="C67" i="1" s="1"/>
  <c r="I67" i="1"/>
  <c r="K66" i="1" a="1"/>
  <c r="K66" i="1" s="1"/>
  <c r="O66" i="1" s="1"/>
  <c r="P66" i="1" s="1"/>
  <c r="B110" i="1"/>
  <c r="E109" i="1"/>
  <c r="F109" i="1"/>
  <c r="G109" i="1"/>
  <c r="J67" i="1" l="1"/>
  <c r="D67" i="1" s="1" a="1"/>
  <c r="D67" i="1" s="1"/>
  <c r="M71" i="1"/>
  <c r="N71" i="1"/>
  <c r="B111" i="1"/>
  <c r="G110" i="1"/>
  <c r="F110" i="1"/>
  <c r="E110" i="1"/>
  <c r="V67" i="1" l="1"/>
  <c r="I68" i="1"/>
  <c r="H68" i="1"/>
  <c r="L68" i="1"/>
  <c r="K67" i="1" a="1"/>
  <c r="K67" i="1" s="1"/>
  <c r="O67" i="1" s="1"/>
  <c r="P67" i="1" s="1"/>
  <c r="B112" i="1"/>
  <c r="F111" i="1"/>
  <c r="E111" i="1"/>
  <c r="G111" i="1"/>
  <c r="J68" i="1" l="1"/>
  <c r="D68" i="1" s="1" a="1"/>
  <c r="D68" i="1" s="1"/>
  <c r="N72" i="1"/>
  <c r="M72" i="1"/>
  <c r="C68" i="1"/>
  <c r="B113" i="1"/>
  <c r="G112" i="1"/>
  <c r="F112" i="1"/>
  <c r="E112" i="1"/>
  <c r="K68" i="1" l="1" a="1"/>
  <c r="K68" i="1" s="1"/>
  <c r="O68" i="1" s="1"/>
  <c r="P68" i="1" s="1"/>
  <c r="H69" i="1"/>
  <c r="L69" i="1"/>
  <c r="C69" i="1" s="1"/>
  <c r="V68" i="1"/>
  <c r="I69" i="1"/>
  <c r="B114" i="1"/>
  <c r="G113" i="1"/>
  <c r="F113" i="1"/>
  <c r="E113" i="1"/>
  <c r="J69" i="1" l="1"/>
  <c r="D69" i="1" s="1" a="1"/>
  <c r="D69" i="1" s="1"/>
  <c r="V69" i="1" s="1"/>
  <c r="M73" i="1"/>
  <c r="N73" i="1"/>
  <c r="B115" i="1"/>
  <c r="G114" i="1"/>
  <c r="F114" i="1"/>
  <c r="E114" i="1"/>
  <c r="K69" i="1" l="1" a="1"/>
  <c r="K69" i="1" s="1"/>
  <c r="O69" i="1" s="1"/>
  <c r="P69" i="1" s="1"/>
  <c r="L70" i="1"/>
  <c r="C70" i="1" s="1"/>
  <c r="H70" i="1"/>
  <c r="I70" i="1"/>
  <c r="N74" i="1"/>
  <c r="B116" i="1"/>
  <c r="G115" i="1"/>
  <c r="F115" i="1"/>
  <c r="E115" i="1"/>
  <c r="M74" i="1" l="1"/>
  <c r="J70" i="1"/>
  <c r="D70" i="1" s="1" a="1"/>
  <c r="D70" i="1" s="1"/>
  <c r="V70" i="1" s="1"/>
  <c r="B117" i="1"/>
  <c r="G116" i="1"/>
  <c r="F116" i="1"/>
  <c r="E116" i="1"/>
  <c r="K70" i="1" l="1" a="1"/>
  <c r="K70" i="1" s="1"/>
  <c r="O70" i="1" s="1"/>
  <c r="P70" i="1" s="1"/>
  <c r="L71" i="1"/>
  <c r="C71" i="1" s="1"/>
  <c r="H71" i="1"/>
  <c r="I71" i="1"/>
  <c r="B118" i="1"/>
  <c r="F117" i="1"/>
  <c r="G117" i="1"/>
  <c r="E117" i="1"/>
  <c r="N75" i="1" l="1"/>
  <c r="M75" i="1"/>
  <c r="J71" i="1"/>
  <c r="D71" i="1" s="1" a="1"/>
  <c r="D71" i="1" s="1"/>
  <c r="L72" i="1" s="1"/>
  <c r="N76" i="1" s="1"/>
  <c r="B119" i="1"/>
  <c r="G118" i="1"/>
  <c r="E118" i="1"/>
  <c r="F118" i="1"/>
  <c r="K71" i="1" l="1" a="1"/>
  <c r="K71" i="1" s="1"/>
  <c r="O71" i="1" s="1"/>
  <c r="P71" i="1" s="1"/>
  <c r="M76" i="1"/>
  <c r="H72" i="1"/>
  <c r="V71" i="1"/>
  <c r="C72" i="1"/>
  <c r="I72" i="1"/>
  <c r="J72" i="1" s="1"/>
  <c r="D72" i="1" s="1" a="1"/>
  <c r="D72" i="1" s="1"/>
  <c r="V72" i="1" s="1"/>
  <c r="B120" i="1"/>
  <c r="G119" i="1"/>
  <c r="F119" i="1"/>
  <c r="E119" i="1"/>
  <c r="I73" i="1" l="1"/>
  <c r="H73" i="1"/>
  <c r="K72" i="1" a="1"/>
  <c r="K72" i="1" s="1"/>
  <c r="O72" i="1" s="1"/>
  <c r="P72" i="1" s="1"/>
  <c r="L73" i="1"/>
  <c r="C73" i="1" s="1"/>
  <c r="B121" i="1"/>
  <c r="G120" i="1"/>
  <c r="F120" i="1"/>
  <c r="E120" i="1"/>
  <c r="J73" i="1" l="1"/>
  <c r="D73" i="1" s="1" a="1"/>
  <c r="D73" i="1" s="1"/>
  <c r="H74" i="1" s="1"/>
  <c r="M77" i="1"/>
  <c r="N77" i="1"/>
  <c r="B122" i="1"/>
  <c r="G121" i="1"/>
  <c r="E121" i="1"/>
  <c r="F121" i="1"/>
  <c r="K73" i="1" l="1" a="1"/>
  <c r="K73" i="1" s="1"/>
  <c r="O73" i="1" s="1"/>
  <c r="P73" i="1" s="1"/>
  <c r="V73" i="1"/>
  <c r="L74" i="1"/>
  <c r="C74" i="1" s="1"/>
  <c r="I74" i="1"/>
  <c r="J74" i="1" s="1"/>
  <c r="B123" i="1"/>
  <c r="G122" i="1"/>
  <c r="F122" i="1"/>
  <c r="E122" i="1"/>
  <c r="M78" i="1" l="1"/>
  <c r="N78" i="1"/>
  <c r="D74" i="1" a="1"/>
  <c r="D74" i="1" s="1"/>
  <c r="I75" i="1" s="1"/>
  <c r="B124" i="1"/>
  <c r="G123" i="1"/>
  <c r="F123" i="1"/>
  <c r="E123" i="1"/>
  <c r="K74" i="1" l="1" a="1"/>
  <c r="K74" i="1" s="1"/>
  <c r="O74" i="1" s="1"/>
  <c r="P74" i="1" s="1"/>
  <c r="L75" i="1"/>
  <c r="H75" i="1"/>
  <c r="J75" i="1" s="1"/>
  <c r="D75" i="1" s="1" a="1"/>
  <c r="D75" i="1" s="1"/>
  <c r="H76" i="1" s="1"/>
  <c r="V74" i="1"/>
  <c r="B125" i="1"/>
  <c r="G124" i="1"/>
  <c r="F124" i="1"/>
  <c r="E124" i="1"/>
  <c r="L76" i="1" l="1"/>
  <c r="C76" i="1" s="1"/>
  <c r="K75" i="1" a="1"/>
  <c r="K75" i="1" s="1"/>
  <c r="O75" i="1" s="1"/>
  <c r="P75" i="1" s="1"/>
  <c r="I76" i="1"/>
  <c r="J76" i="1" s="1"/>
  <c r="D76" i="1" s="1" a="1"/>
  <c r="D76" i="1" s="1"/>
  <c r="I77" i="1" s="1"/>
  <c r="V75" i="1"/>
  <c r="C75" i="1"/>
  <c r="N79" i="1"/>
  <c r="M79" i="1"/>
  <c r="G125" i="1"/>
  <c r="F125" i="1"/>
  <c r="E125" i="1"/>
  <c r="B126" i="1"/>
  <c r="M80" i="1" l="1"/>
  <c r="N80" i="1"/>
  <c r="K76" i="1" a="1"/>
  <c r="K76" i="1" s="1"/>
  <c r="O76" i="1" s="1"/>
  <c r="P76" i="1" s="1"/>
  <c r="L77" i="1"/>
  <c r="C77" i="1" s="1"/>
  <c r="H77" i="1"/>
  <c r="J77" i="1" s="1"/>
  <c r="V76" i="1"/>
  <c r="B127" i="1"/>
  <c r="E126" i="1"/>
  <c r="G126" i="1"/>
  <c r="F126" i="1"/>
  <c r="D77" i="1" l="1" a="1"/>
  <c r="D77" i="1" s="1"/>
  <c r="V77" i="1" s="1"/>
  <c r="N81" i="1"/>
  <c r="M81" i="1"/>
  <c r="G127" i="1"/>
  <c r="F127" i="1"/>
  <c r="E127" i="1"/>
  <c r="B128" i="1"/>
  <c r="H78" i="1" l="1"/>
  <c r="I78" i="1"/>
  <c r="K77" i="1" a="1"/>
  <c r="K77" i="1" s="1"/>
  <c r="O77" i="1" s="1"/>
  <c r="P77" i="1" s="1"/>
  <c r="L78" i="1"/>
  <c r="N82" i="1" s="1"/>
  <c r="B129" i="1"/>
  <c r="E128" i="1"/>
  <c r="G128" i="1"/>
  <c r="F128" i="1"/>
  <c r="C78" i="1" l="1"/>
  <c r="M82" i="1"/>
  <c r="J78" i="1"/>
  <c r="D78" i="1" s="1" a="1"/>
  <c r="D78" i="1" s="1"/>
  <c r="K78" i="1" s="1" a="1"/>
  <c r="K78" i="1" s="1"/>
  <c r="O78" i="1" s="1"/>
  <c r="P78" i="1" s="1"/>
  <c r="G129" i="1"/>
  <c r="F129" i="1"/>
  <c r="E129" i="1"/>
  <c r="B130" i="1"/>
  <c r="H79" i="1" l="1"/>
  <c r="L79" i="1"/>
  <c r="N83" i="1" s="1"/>
  <c r="V78" i="1"/>
  <c r="I79" i="1"/>
  <c r="J79" i="1" s="1"/>
  <c r="D79" i="1" s="1" a="1"/>
  <c r="D79" i="1" s="1"/>
  <c r="M83" i="1"/>
  <c r="C79" i="1"/>
  <c r="B131" i="1"/>
  <c r="E130" i="1"/>
  <c r="G130" i="1"/>
  <c r="F130" i="1"/>
  <c r="V79" i="1" l="1"/>
  <c r="H80" i="1"/>
  <c r="I80" i="1"/>
  <c r="L80" i="1"/>
  <c r="K79" i="1" a="1"/>
  <c r="K79" i="1" s="1"/>
  <c r="O79" i="1" s="1"/>
  <c r="P79" i="1" s="1"/>
  <c r="G131" i="1"/>
  <c r="F131" i="1"/>
  <c r="E131" i="1"/>
  <c r="B132" i="1"/>
  <c r="J80" i="1" l="1"/>
  <c r="D80" i="1" s="1" a="1"/>
  <c r="D80" i="1" s="1"/>
  <c r="C80" i="1"/>
  <c r="M84" i="1"/>
  <c r="N84" i="1"/>
  <c r="B133" i="1"/>
  <c r="E132" i="1"/>
  <c r="G132" i="1"/>
  <c r="F132" i="1"/>
  <c r="H81" i="1" l="1"/>
  <c r="V80" i="1"/>
  <c r="I81" i="1"/>
  <c r="L81" i="1"/>
  <c r="K80" i="1" a="1"/>
  <c r="K80" i="1" s="1"/>
  <c r="O80" i="1" s="1"/>
  <c r="P80" i="1" s="1"/>
  <c r="G133" i="1"/>
  <c r="F133" i="1"/>
  <c r="E133" i="1"/>
  <c r="B134" i="1"/>
  <c r="J81" i="1" l="1"/>
  <c r="D81" i="1" s="1" a="1"/>
  <c r="D81" i="1" s="1"/>
  <c r="M85" i="1"/>
  <c r="N85" i="1"/>
  <c r="C81" i="1"/>
  <c r="B135" i="1"/>
  <c r="E134" i="1"/>
  <c r="G134" i="1"/>
  <c r="F134" i="1"/>
  <c r="V81" i="1" l="1"/>
  <c r="K81" i="1" a="1"/>
  <c r="K81" i="1" s="1"/>
  <c r="O81" i="1" s="1"/>
  <c r="P81" i="1" s="1"/>
  <c r="I82" i="1"/>
  <c r="L82" i="1"/>
  <c r="H82" i="1"/>
  <c r="G135" i="1"/>
  <c r="F135" i="1"/>
  <c r="E135" i="1"/>
  <c r="B136" i="1"/>
  <c r="J82" i="1" l="1"/>
  <c r="D82" i="1" s="1" a="1"/>
  <c r="D82" i="1" s="1"/>
  <c r="I83" i="1" s="1"/>
  <c r="C82" i="1"/>
  <c r="N86" i="1"/>
  <c r="M86" i="1"/>
  <c r="B137" i="1"/>
  <c r="E136" i="1"/>
  <c r="G136" i="1"/>
  <c r="F136" i="1"/>
  <c r="K82" i="1" l="1" a="1"/>
  <c r="K82" i="1" s="1"/>
  <c r="O82" i="1" s="1"/>
  <c r="P82" i="1" s="1"/>
  <c r="L83" i="1"/>
  <c r="C83" i="1" s="1"/>
  <c r="H83" i="1"/>
  <c r="J83" i="1" s="1"/>
  <c r="V82" i="1"/>
  <c r="G137" i="1"/>
  <c r="F137" i="1"/>
  <c r="E137" i="1"/>
  <c r="B138" i="1"/>
  <c r="D83" i="1" l="1" a="1"/>
  <c r="D83" i="1" s="1"/>
  <c r="K83" i="1" s="1" a="1"/>
  <c r="K83" i="1" s="1"/>
  <c r="O83" i="1" s="1"/>
  <c r="P83" i="1" s="1"/>
  <c r="M87" i="1"/>
  <c r="N87" i="1"/>
  <c r="I84" i="1"/>
  <c r="B139" i="1"/>
  <c r="G138" i="1"/>
  <c r="E138" i="1"/>
  <c r="F138" i="1"/>
  <c r="H84" i="1" l="1"/>
  <c r="J84" i="1" s="1"/>
  <c r="D84" i="1" s="1" a="1"/>
  <c r="D84" i="1" s="1"/>
  <c r="V84" i="1" s="1"/>
  <c r="V83" i="1"/>
  <c r="L84" i="1"/>
  <c r="C84" i="1" s="1"/>
  <c r="N88" i="1"/>
  <c r="G139" i="1"/>
  <c r="F139" i="1"/>
  <c r="E139" i="1"/>
  <c r="B140" i="1"/>
  <c r="H85" i="1" l="1"/>
  <c r="L85" i="1"/>
  <c r="C85" i="1" s="1"/>
  <c r="M88" i="1"/>
  <c r="I85" i="1"/>
  <c r="K84" i="1" a="1"/>
  <c r="K84" i="1" s="1"/>
  <c r="O84" i="1" s="1"/>
  <c r="P84" i="1" s="1"/>
  <c r="M89" i="1"/>
  <c r="N89" i="1"/>
  <c r="B141" i="1"/>
  <c r="G140" i="1"/>
  <c r="E140" i="1"/>
  <c r="F140" i="1"/>
  <c r="J85" i="1" l="1"/>
  <c r="D85" i="1" s="1" a="1"/>
  <c r="D85" i="1" s="1"/>
  <c r="G141" i="1"/>
  <c r="F141" i="1"/>
  <c r="E141" i="1"/>
  <c r="B142" i="1"/>
  <c r="V85" i="1" l="1"/>
  <c r="I86" i="1"/>
  <c r="H86" i="1"/>
  <c r="L86" i="1"/>
  <c r="K85" i="1" a="1"/>
  <c r="K85" i="1" s="1"/>
  <c r="O85" i="1" s="1"/>
  <c r="P85" i="1" s="1"/>
  <c r="B143" i="1"/>
  <c r="G142" i="1"/>
  <c r="F142" i="1"/>
  <c r="E142" i="1"/>
  <c r="M90" i="1" l="1"/>
  <c r="N90" i="1"/>
  <c r="C86" i="1"/>
  <c r="J86" i="1"/>
  <c r="D86" i="1" s="1" a="1"/>
  <c r="D86" i="1" s="1"/>
  <c r="B144" i="1"/>
  <c r="G143" i="1"/>
  <c r="F143" i="1"/>
  <c r="E143" i="1"/>
  <c r="I87" i="1" l="1"/>
  <c r="K86" i="1" a="1"/>
  <c r="K86" i="1" s="1"/>
  <c r="O86" i="1" s="1"/>
  <c r="P86" i="1" s="1"/>
  <c r="V86" i="1"/>
  <c r="L87" i="1"/>
  <c r="H87" i="1"/>
  <c r="J87" i="1" s="1"/>
  <c r="D87" i="1" s="1" a="1"/>
  <c r="D87" i="1" s="1"/>
  <c r="H88" i="1" s="1"/>
  <c r="B145" i="1"/>
  <c r="G144" i="1"/>
  <c r="F144" i="1"/>
  <c r="E144" i="1"/>
  <c r="I88" i="1" l="1"/>
  <c r="J88" i="1" s="1"/>
  <c r="D88" i="1" s="1" a="1"/>
  <c r="D88" i="1" s="1"/>
  <c r="K87" i="1" a="1"/>
  <c r="K87" i="1" s="1"/>
  <c r="O87" i="1" s="1"/>
  <c r="P87" i="1" s="1"/>
  <c r="L88" i="1"/>
  <c r="C88" i="1" s="1"/>
  <c r="V87" i="1"/>
  <c r="M91" i="1"/>
  <c r="N91" i="1"/>
  <c r="C87" i="1"/>
  <c r="N92" i="1"/>
  <c r="M92" i="1"/>
  <c r="G145" i="1"/>
  <c r="F145" i="1"/>
  <c r="E145" i="1"/>
  <c r="B146" i="1"/>
  <c r="V88" i="1" l="1"/>
  <c r="H89" i="1"/>
  <c r="L89" i="1"/>
  <c r="I89" i="1"/>
  <c r="K88" i="1" a="1"/>
  <c r="K88" i="1" s="1"/>
  <c r="O88" i="1" s="1"/>
  <c r="P88" i="1" s="1"/>
  <c r="B147" i="1"/>
  <c r="G146" i="1"/>
  <c r="F146" i="1"/>
  <c r="E146" i="1"/>
  <c r="C89" i="1" l="1"/>
  <c r="M93" i="1"/>
  <c r="N93" i="1"/>
  <c r="J89" i="1"/>
  <c r="D89" i="1" s="1" a="1"/>
  <c r="D89" i="1" s="1"/>
  <c r="G147" i="1"/>
  <c r="F147" i="1"/>
  <c r="E147" i="1"/>
  <c r="B148" i="1"/>
  <c r="V89" i="1" l="1"/>
  <c r="L90" i="1"/>
  <c r="I90" i="1"/>
  <c r="H90" i="1"/>
  <c r="K89" i="1" a="1"/>
  <c r="K89" i="1" s="1"/>
  <c r="O89" i="1" s="1"/>
  <c r="P89" i="1" s="1"/>
  <c r="B149" i="1"/>
  <c r="G148" i="1"/>
  <c r="F148" i="1"/>
  <c r="E148" i="1"/>
  <c r="J90" i="1" l="1"/>
  <c r="D90" i="1" s="1" a="1"/>
  <c r="D90" i="1" s="1"/>
  <c r="C90" i="1"/>
  <c r="M94" i="1"/>
  <c r="N94" i="1"/>
  <c r="B150" i="1"/>
  <c r="G149" i="1"/>
  <c r="F149" i="1"/>
  <c r="E149" i="1"/>
  <c r="V90" i="1" l="1"/>
  <c r="K90" i="1" a="1"/>
  <c r="K90" i="1" s="1"/>
  <c r="O90" i="1" s="1"/>
  <c r="P90" i="1" s="1"/>
  <c r="I91" i="1"/>
  <c r="L91" i="1"/>
  <c r="H91" i="1"/>
  <c r="B151" i="1"/>
  <c r="G150" i="1"/>
  <c r="F150" i="1"/>
  <c r="E150" i="1"/>
  <c r="J91" i="1" l="1"/>
  <c r="D91" i="1" s="1" a="1"/>
  <c r="D91" i="1" s="1"/>
  <c r="V91" i="1" s="1"/>
  <c r="C91" i="1"/>
  <c r="N95" i="1"/>
  <c r="M95" i="1"/>
  <c r="E151" i="1"/>
  <c r="B152" i="1"/>
  <c r="G151" i="1"/>
  <c r="F151" i="1"/>
  <c r="K91" i="1" l="1" a="1"/>
  <c r="K91" i="1" s="1"/>
  <c r="O91" i="1" s="1"/>
  <c r="P91" i="1" s="1"/>
  <c r="H92" i="1"/>
  <c r="I92" i="1"/>
  <c r="L92" i="1"/>
  <c r="C92" i="1" s="1"/>
  <c r="B153" i="1"/>
  <c r="G152" i="1"/>
  <c r="F152" i="1"/>
  <c r="E152" i="1"/>
  <c r="J92" i="1" l="1"/>
  <c r="D92" i="1" s="1" a="1"/>
  <c r="D92" i="1" s="1"/>
  <c r="V92" i="1" s="1"/>
  <c r="M96" i="1"/>
  <c r="N96" i="1"/>
  <c r="B154" i="1"/>
  <c r="G153" i="1"/>
  <c r="F153" i="1"/>
  <c r="E153" i="1"/>
  <c r="L93" i="1" l="1"/>
  <c r="C93" i="1" s="1"/>
  <c r="K92" i="1" a="1"/>
  <c r="K92" i="1" s="1"/>
  <c r="O92" i="1" s="1"/>
  <c r="P92" i="1" s="1"/>
  <c r="H93" i="1"/>
  <c r="I93" i="1"/>
  <c r="B155" i="1"/>
  <c r="G154" i="1"/>
  <c r="F154" i="1"/>
  <c r="E154" i="1"/>
  <c r="J93" i="1" l="1"/>
  <c r="D93" i="1" s="1" a="1"/>
  <c r="D93" i="1" s="1"/>
  <c r="L94" i="1" s="1"/>
  <c r="M97" i="1"/>
  <c r="N97" i="1"/>
  <c r="B156" i="1"/>
  <c r="G155" i="1"/>
  <c r="F155" i="1"/>
  <c r="E155" i="1"/>
  <c r="H94" i="1" l="1"/>
  <c r="K93" i="1" a="1"/>
  <c r="K93" i="1" s="1"/>
  <c r="O93" i="1" s="1"/>
  <c r="P93" i="1" s="1"/>
  <c r="C94" i="1"/>
  <c r="I94" i="1"/>
  <c r="V93" i="1"/>
  <c r="N98" i="1"/>
  <c r="M98" i="1"/>
  <c r="B157" i="1"/>
  <c r="G156" i="1"/>
  <c r="F156" i="1"/>
  <c r="E156" i="1"/>
  <c r="J94" i="1" l="1"/>
  <c r="D94" i="1" s="1" a="1"/>
  <c r="D94" i="1" s="1"/>
  <c r="V94" i="1" s="1"/>
  <c r="B158" i="1"/>
  <c r="G157" i="1"/>
  <c r="F157" i="1"/>
  <c r="E157" i="1"/>
  <c r="H95" i="1" l="1"/>
  <c r="K94" i="1" a="1"/>
  <c r="K94" i="1" s="1"/>
  <c r="O94" i="1" s="1"/>
  <c r="P94" i="1" s="1"/>
  <c r="L95" i="1"/>
  <c r="M99" i="1" s="1"/>
  <c r="I95" i="1"/>
  <c r="B159" i="1"/>
  <c r="G158" i="1"/>
  <c r="F158" i="1"/>
  <c r="E158" i="1"/>
  <c r="J95" i="1" l="1"/>
  <c r="D95" i="1" s="1" a="1"/>
  <c r="D95" i="1" s="1"/>
  <c r="N99" i="1"/>
  <c r="C95" i="1"/>
  <c r="B160" i="1"/>
  <c r="G159" i="1"/>
  <c r="E159" i="1"/>
  <c r="F159" i="1"/>
  <c r="I96" i="1" l="1"/>
  <c r="L96" i="1"/>
  <c r="K95" i="1" a="1"/>
  <c r="K95" i="1" s="1"/>
  <c r="O95" i="1" s="1"/>
  <c r="P95" i="1" s="1"/>
  <c r="V95" i="1"/>
  <c r="H96" i="1"/>
  <c r="B161" i="1"/>
  <c r="G160" i="1"/>
  <c r="F160" i="1"/>
  <c r="E160" i="1"/>
  <c r="J96" i="1" l="1"/>
  <c r="D96" i="1" s="1" a="1"/>
  <c r="D96" i="1" s="1"/>
  <c r="V96" i="1" s="1"/>
  <c r="K96" i="1" a="1"/>
  <c r="K96" i="1" s="1"/>
  <c r="O96" i="1" s="1"/>
  <c r="P96" i="1" s="1"/>
  <c r="H97" i="1"/>
  <c r="L97" i="1"/>
  <c r="C97" i="1" s="1"/>
  <c r="C96" i="1"/>
  <c r="M100" i="1"/>
  <c r="N100" i="1"/>
  <c r="B162" i="1"/>
  <c r="G161" i="1"/>
  <c r="F161" i="1"/>
  <c r="E161" i="1"/>
  <c r="I97" i="1" l="1"/>
  <c r="J97" i="1"/>
  <c r="D97" i="1" s="1" a="1"/>
  <c r="D97" i="1" s="1"/>
  <c r="V97" i="1" s="1"/>
  <c r="M101" i="1"/>
  <c r="N101" i="1"/>
  <c r="B163" i="1"/>
  <c r="G162" i="1"/>
  <c r="F162" i="1"/>
  <c r="E162" i="1"/>
  <c r="H98" i="1" l="1"/>
  <c r="J98" i="1" s="1"/>
  <c r="D98" i="1" s="1" a="1"/>
  <c r="D98" i="1" s="1"/>
  <c r="K98" i="1" s="1" a="1"/>
  <c r="K98" i="1" s="1"/>
  <c r="O98" i="1" s="1"/>
  <c r="P98" i="1" s="1"/>
  <c r="I98" i="1"/>
  <c r="L98" i="1"/>
  <c r="K97" i="1" a="1"/>
  <c r="K97" i="1" s="1"/>
  <c r="O97" i="1" s="1"/>
  <c r="P97" i="1" s="1"/>
  <c r="C98" i="1"/>
  <c r="N102" i="1"/>
  <c r="M102" i="1"/>
  <c r="B164" i="1"/>
  <c r="G163" i="1"/>
  <c r="F163" i="1"/>
  <c r="E163" i="1"/>
  <c r="I99" i="1" l="1"/>
  <c r="L99" i="1"/>
  <c r="C99" i="1" s="1"/>
  <c r="H99" i="1"/>
  <c r="V98" i="1"/>
  <c r="B165" i="1"/>
  <c r="G164" i="1"/>
  <c r="F164" i="1"/>
  <c r="E164" i="1"/>
  <c r="J99" i="1" l="1"/>
  <c r="D99" i="1" s="1" a="1"/>
  <c r="D99" i="1" s="1"/>
  <c r="V99" i="1" s="1"/>
  <c r="N103" i="1"/>
  <c r="M103" i="1"/>
  <c r="B166" i="1"/>
  <c r="G165" i="1"/>
  <c r="F165" i="1"/>
  <c r="E165" i="1"/>
  <c r="K99" i="1" l="1" a="1"/>
  <c r="K99" i="1" s="1"/>
  <c r="O99" i="1" s="1"/>
  <c r="P99" i="1" s="1"/>
  <c r="H100" i="1"/>
  <c r="I100" i="1"/>
  <c r="L100" i="1"/>
  <c r="C100" i="1" s="1"/>
  <c r="G166" i="1"/>
  <c r="F166" i="1"/>
  <c r="E166" i="1"/>
  <c r="B167" i="1"/>
  <c r="J100" i="1" l="1"/>
  <c r="D100" i="1" s="1" a="1"/>
  <c r="D100" i="1" s="1"/>
  <c r="V100" i="1" s="1"/>
  <c r="M104" i="1"/>
  <c r="N104" i="1"/>
  <c r="B168" i="1"/>
  <c r="G167" i="1"/>
  <c r="F167" i="1"/>
  <c r="E167" i="1"/>
  <c r="K100" i="1" l="1" a="1"/>
  <c r="K100" i="1" s="1"/>
  <c r="O100" i="1" s="1"/>
  <c r="P100" i="1" s="1"/>
  <c r="H101" i="1"/>
  <c r="I101" i="1"/>
  <c r="L101" i="1"/>
  <c r="C101" i="1" s="1"/>
  <c r="G168" i="1"/>
  <c r="F168" i="1"/>
  <c r="E168" i="1"/>
  <c r="B169" i="1"/>
  <c r="N105" i="1" l="1"/>
  <c r="J101" i="1"/>
  <c r="D101" i="1" s="1" a="1"/>
  <c r="D101" i="1" s="1"/>
  <c r="L102" i="1" s="1"/>
  <c r="N106" i="1" s="1"/>
  <c r="M105" i="1"/>
  <c r="K101" i="1" a="1"/>
  <c r="K101" i="1" s="1"/>
  <c r="O101" i="1" s="1"/>
  <c r="P101" i="1" s="1"/>
  <c r="B170" i="1"/>
  <c r="G169" i="1"/>
  <c r="F169" i="1"/>
  <c r="E169" i="1"/>
  <c r="H102" i="1" l="1"/>
  <c r="M106" i="1"/>
  <c r="C102" i="1"/>
  <c r="V101" i="1"/>
  <c r="I102" i="1"/>
  <c r="J102" i="1" s="1"/>
  <c r="D102" i="1" s="1" a="1"/>
  <c r="D102" i="1" s="1"/>
  <c r="L103" i="1" s="1"/>
  <c r="C103" i="1" s="1"/>
  <c r="G170" i="1"/>
  <c r="E170" i="1"/>
  <c r="B171" i="1"/>
  <c r="F170" i="1"/>
  <c r="H103" i="1" l="1"/>
  <c r="V102" i="1"/>
  <c r="I103" i="1"/>
  <c r="K102" i="1" a="1"/>
  <c r="K102" i="1" s="1"/>
  <c r="O102" i="1" s="1"/>
  <c r="P102" i="1" s="1"/>
  <c r="J103" i="1"/>
  <c r="D103" i="1" s="1" a="1"/>
  <c r="D103" i="1" s="1"/>
  <c r="N107" i="1"/>
  <c r="M107" i="1"/>
  <c r="B172" i="1"/>
  <c r="G171" i="1"/>
  <c r="E171" i="1"/>
  <c r="F171" i="1"/>
  <c r="V103" i="1" l="1"/>
  <c r="H104" i="1"/>
  <c r="L104" i="1"/>
  <c r="C104" i="1" s="1"/>
  <c r="I104" i="1"/>
  <c r="K103" i="1" a="1"/>
  <c r="K103" i="1" s="1"/>
  <c r="O103" i="1" s="1"/>
  <c r="P103" i="1" s="1"/>
  <c r="G172" i="1"/>
  <c r="B173" i="1"/>
  <c r="F172" i="1"/>
  <c r="E172" i="1"/>
  <c r="N108" i="1" l="1"/>
  <c r="M108" i="1"/>
  <c r="J104" i="1"/>
  <c r="D104" i="1" s="1" a="1"/>
  <c r="D104" i="1" s="1"/>
  <c r="B174" i="1"/>
  <c r="G173" i="1"/>
  <c r="F173" i="1"/>
  <c r="E173" i="1"/>
  <c r="V104" i="1" l="1"/>
  <c r="L105" i="1"/>
  <c r="C105" i="1" s="1"/>
  <c r="I105" i="1"/>
  <c r="H105" i="1"/>
  <c r="K104" i="1" a="1"/>
  <c r="K104" i="1" s="1"/>
  <c r="O104" i="1" s="1"/>
  <c r="P104" i="1" s="1"/>
  <c r="G174" i="1"/>
  <c r="F174" i="1"/>
  <c r="E174" i="1"/>
  <c r="B175" i="1"/>
  <c r="J105" i="1" l="1"/>
  <c r="D105" i="1" s="1" a="1"/>
  <c r="D105" i="1" s="1"/>
  <c r="K105" i="1" s="1" a="1"/>
  <c r="K105" i="1" s="1"/>
  <c r="O105" i="1" s="1"/>
  <c r="P105" i="1" s="1"/>
  <c r="N109" i="1"/>
  <c r="M109" i="1"/>
  <c r="B176" i="1"/>
  <c r="G175" i="1"/>
  <c r="F175" i="1"/>
  <c r="E175" i="1"/>
  <c r="L106" i="1" l="1"/>
  <c r="C106" i="1" s="1"/>
  <c r="H106" i="1"/>
  <c r="V105" i="1"/>
  <c r="I106" i="1"/>
  <c r="G176" i="1"/>
  <c r="B177" i="1"/>
  <c r="F176" i="1"/>
  <c r="E176" i="1"/>
  <c r="N110" i="1" l="1"/>
  <c r="M110" i="1"/>
  <c r="J106" i="1"/>
  <c r="D106" i="1" s="1" a="1"/>
  <c r="D106" i="1" s="1"/>
  <c r="H107" i="1" s="1"/>
  <c r="B178" i="1"/>
  <c r="G177" i="1"/>
  <c r="F177" i="1"/>
  <c r="E177" i="1"/>
  <c r="V106" i="1" l="1"/>
  <c r="K106" i="1" a="1"/>
  <c r="K106" i="1" s="1"/>
  <c r="O106" i="1" s="1"/>
  <c r="P106" i="1" s="1"/>
  <c r="L107" i="1"/>
  <c r="M111" i="1" s="1"/>
  <c r="I107" i="1"/>
  <c r="J107" i="1" s="1"/>
  <c r="G178" i="1"/>
  <c r="E178" i="1"/>
  <c r="F178" i="1"/>
  <c r="B179" i="1"/>
  <c r="D107" i="1" l="1" a="1"/>
  <c r="D107" i="1" s="1"/>
  <c r="V107" i="1" s="1"/>
  <c r="C107" i="1"/>
  <c r="N111" i="1"/>
  <c r="B180" i="1"/>
  <c r="G179" i="1"/>
  <c r="F179" i="1"/>
  <c r="E179" i="1"/>
  <c r="K107" i="1" l="1" a="1"/>
  <c r="K107" i="1" s="1"/>
  <c r="O107" i="1" s="1"/>
  <c r="P107" i="1" s="1"/>
  <c r="L108" i="1"/>
  <c r="C108" i="1" s="1"/>
  <c r="H108" i="1"/>
  <c r="I108" i="1"/>
  <c r="G180" i="1"/>
  <c r="E180" i="1"/>
  <c r="B181" i="1"/>
  <c r="F180" i="1"/>
  <c r="M112" i="1" l="1"/>
  <c r="N112" i="1"/>
  <c r="J108" i="1"/>
  <c r="D108" i="1" s="1" a="1"/>
  <c r="D108" i="1" s="1"/>
  <c r="V108" i="1" s="1"/>
  <c r="B182" i="1"/>
  <c r="G181" i="1"/>
  <c r="F181" i="1"/>
  <c r="E181" i="1"/>
  <c r="I109" i="1" l="1"/>
  <c r="H109" i="1"/>
  <c r="K108" i="1" a="1"/>
  <c r="K108" i="1" s="1"/>
  <c r="O108" i="1" s="1"/>
  <c r="P108" i="1" s="1"/>
  <c r="L109" i="1"/>
  <c r="G182" i="1"/>
  <c r="E182" i="1"/>
  <c r="B183" i="1"/>
  <c r="F182" i="1"/>
  <c r="J109" i="1" l="1"/>
  <c r="C109" i="1"/>
  <c r="N113" i="1"/>
  <c r="M113" i="1"/>
  <c r="D109" i="1" a="1"/>
  <c r="D109" i="1" s="1"/>
  <c r="B184" i="1"/>
  <c r="G183" i="1"/>
  <c r="F183" i="1"/>
  <c r="E183" i="1"/>
  <c r="L110" i="1" l="1"/>
  <c r="K109" i="1" a="1"/>
  <c r="K109" i="1" s="1"/>
  <c r="O109" i="1" s="1"/>
  <c r="P109" i="1" s="1"/>
  <c r="V109" i="1"/>
  <c r="H110" i="1"/>
  <c r="I110" i="1"/>
  <c r="G184" i="1"/>
  <c r="E184" i="1"/>
  <c r="F184" i="1"/>
  <c r="B185" i="1"/>
  <c r="J110" i="1" l="1"/>
  <c r="D110" i="1" s="1" a="1"/>
  <c r="D110" i="1" s="1"/>
  <c r="L111" i="1" s="1"/>
  <c r="M115" i="1" s="1"/>
  <c r="C110" i="1"/>
  <c r="N114" i="1"/>
  <c r="M114" i="1"/>
  <c r="B186" i="1"/>
  <c r="G185" i="1"/>
  <c r="F185" i="1"/>
  <c r="E185" i="1"/>
  <c r="V110" i="1" l="1"/>
  <c r="I111" i="1"/>
  <c r="C111" i="1"/>
  <c r="N115" i="1"/>
  <c r="K110" i="1" a="1"/>
  <c r="K110" i="1" s="1"/>
  <c r="O110" i="1" s="1"/>
  <c r="P110" i="1" s="1"/>
  <c r="H111" i="1"/>
  <c r="J111" i="1" s="1"/>
  <c r="D111" i="1" s="1" a="1"/>
  <c r="D111" i="1" s="1"/>
  <c r="K111" i="1" s="1" a="1"/>
  <c r="K111" i="1" s="1"/>
  <c r="O111" i="1" s="1"/>
  <c r="P111" i="1" s="1"/>
  <c r="G186" i="1"/>
  <c r="F186" i="1"/>
  <c r="E186" i="1"/>
  <c r="B187" i="1"/>
  <c r="V111" i="1" l="1"/>
  <c r="H112" i="1"/>
  <c r="L112" i="1"/>
  <c r="M116" i="1" s="1"/>
  <c r="I112" i="1"/>
  <c r="B188" i="1"/>
  <c r="G187" i="1"/>
  <c r="F187" i="1"/>
  <c r="E187" i="1"/>
  <c r="J112" i="1" l="1"/>
  <c r="D112" i="1" a="1"/>
  <c r="D112" i="1" s="1"/>
  <c r="H113" i="1" s="1"/>
  <c r="C112" i="1"/>
  <c r="N116" i="1"/>
  <c r="G188" i="1"/>
  <c r="F188" i="1"/>
  <c r="E188" i="1"/>
  <c r="B189" i="1"/>
  <c r="K112" i="1" l="1" a="1"/>
  <c r="K112" i="1" s="1"/>
  <c r="O112" i="1" s="1"/>
  <c r="P112" i="1" s="1"/>
  <c r="L113" i="1"/>
  <c r="M117" i="1" s="1"/>
  <c r="I113" i="1"/>
  <c r="J113" i="1" s="1"/>
  <c r="V112" i="1"/>
  <c r="B190" i="1"/>
  <c r="G189" i="1"/>
  <c r="F189" i="1"/>
  <c r="E189" i="1"/>
  <c r="D113" i="1" l="1" a="1"/>
  <c r="D113" i="1" s="1"/>
  <c r="C113" i="1"/>
  <c r="N117" i="1"/>
  <c r="G190" i="1"/>
  <c r="F190" i="1"/>
  <c r="E190" i="1"/>
  <c r="B191" i="1"/>
  <c r="V113" i="1" l="1"/>
  <c r="L114" i="1"/>
  <c r="I114" i="1"/>
  <c r="K113" i="1" a="1"/>
  <c r="K113" i="1" s="1"/>
  <c r="O113" i="1" s="1"/>
  <c r="P113" i="1" s="1"/>
  <c r="H114" i="1"/>
  <c r="J114" i="1" s="1"/>
  <c r="D114" i="1" s="1" a="1"/>
  <c r="D114" i="1" s="1"/>
  <c r="B192" i="1"/>
  <c r="G191" i="1"/>
  <c r="F191" i="1"/>
  <c r="E191" i="1"/>
  <c r="I115" i="1" l="1"/>
  <c r="V114" i="1"/>
  <c r="L115" i="1"/>
  <c r="C115" i="1" s="1"/>
  <c r="K114" i="1" a="1"/>
  <c r="K114" i="1" s="1"/>
  <c r="O114" i="1" s="1"/>
  <c r="P114" i="1" s="1"/>
  <c r="H115" i="1"/>
  <c r="J115" i="1" s="1"/>
  <c r="D115" i="1" s="1" a="1"/>
  <c r="D115" i="1" s="1"/>
  <c r="V115" i="1" s="1"/>
  <c r="N118" i="1"/>
  <c r="M118" i="1"/>
  <c r="C114" i="1"/>
  <c r="M119" i="1"/>
  <c r="N119" i="1"/>
  <c r="K115" i="1" a="1"/>
  <c r="K115" i="1" s="1"/>
  <c r="O115" i="1" s="1"/>
  <c r="P115" i="1" s="1"/>
  <c r="G192" i="1"/>
  <c r="F192" i="1"/>
  <c r="E192" i="1"/>
  <c r="B193" i="1"/>
  <c r="L116" i="1" l="1"/>
  <c r="C116" i="1" s="1"/>
  <c r="H116" i="1"/>
  <c r="I116" i="1"/>
  <c r="M120" i="1"/>
  <c r="N120" i="1"/>
  <c r="J116" i="1"/>
  <c r="D116" i="1" s="1" a="1"/>
  <c r="D116" i="1" s="1"/>
  <c r="V116" i="1" s="1"/>
  <c r="B194" i="1"/>
  <c r="G193" i="1"/>
  <c r="F193" i="1"/>
  <c r="E193" i="1"/>
  <c r="I117" i="1" l="1"/>
  <c r="K116" i="1" a="1"/>
  <c r="K116" i="1" s="1"/>
  <c r="O116" i="1" s="1"/>
  <c r="P116" i="1" s="1"/>
  <c r="H117" i="1"/>
  <c r="L117" i="1"/>
  <c r="M121" i="1" s="1"/>
  <c r="G194" i="1"/>
  <c r="F194" i="1"/>
  <c r="E194" i="1"/>
  <c r="B195" i="1"/>
  <c r="C117" i="1" l="1"/>
  <c r="J117" i="1"/>
  <c r="D117" i="1" s="1" a="1"/>
  <c r="D117" i="1" s="1"/>
  <c r="V117" i="1" s="1"/>
  <c r="N121" i="1"/>
  <c r="B196" i="1"/>
  <c r="G195" i="1"/>
  <c r="F195" i="1"/>
  <c r="E195" i="1"/>
  <c r="K117" i="1" l="1" a="1"/>
  <c r="K117" i="1" s="1"/>
  <c r="O117" i="1" s="1"/>
  <c r="P117" i="1" s="1"/>
  <c r="L118" i="1"/>
  <c r="C118" i="1" s="1"/>
  <c r="I118" i="1"/>
  <c r="H118" i="1"/>
  <c r="J118" i="1" s="1"/>
  <c r="D118" i="1" s="1" a="1"/>
  <c r="D118" i="1" s="1"/>
  <c r="G196" i="1"/>
  <c r="F196" i="1"/>
  <c r="E196" i="1"/>
  <c r="B197" i="1"/>
  <c r="M122" i="1" l="1"/>
  <c r="N122" i="1"/>
  <c r="V118" i="1"/>
  <c r="H119" i="1"/>
  <c r="L119" i="1"/>
  <c r="K118" i="1" a="1"/>
  <c r="K118" i="1" s="1"/>
  <c r="O118" i="1" s="1"/>
  <c r="P118" i="1" s="1"/>
  <c r="I119" i="1"/>
  <c r="B198" i="1"/>
  <c r="G197" i="1"/>
  <c r="F197" i="1"/>
  <c r="E197" i="1"/>
  <c r="C119" i="1" l="1"/>
  <c r="M123" i="1"/>
  <c r="N123" i="1"/>
  <c r="J119" i="1"/>
  <c r="D119" i="1" s="1" a="1"/>
  <c r="D119" i="1" s="1"/>
  <c r="G198" i="1"/>
  <c r="F198" i="1"/>
  <c r="E198" i="1"/>
  <c r="B199" i="1"/>
  <c r="V119" i="1" l="1"/>
  <c r="K119" i="1" a="1"/>
  <c r="K119" i="1" s="1"/>
  <c r="O119" i="1" s="1"/>
  <c r="P119" i="1" s="1"/>
  <c r="H120" i="1"/>
  <c r="L120" i="1"/>
  <c r="I120" i="1"/>
  <c r="B200" i="1"/>
  <c r="G199" i="1"/>
  <c r="F199" i="1"/>
  <c r="E199" i="1"/>
  <c r="J120" i="1" l="1"/>
  <c r="D120" i="1" s="1" a="1"/>
  <c r="D120" i="1" s="1"/>
  <c r="V120" i="1" s="1"/>
  <c r="C120" i="1"/>
  <c r="M124" i="1"/>
  <c r="N124" i="1"/>
  <c r="G200" i="1"/>
  <c r="F200" i="1"/>
  <c r="E200" i="1"/>
  <c r="B201" i="1"/>
  <c r="L121" i="1" l="1"/>
  <c r="H121" i="1"/>
  <c r="K120" i="1" a="1"/>
  <c r="K120" i="1" s="1"/>
  <c r="O120" i="1" s="1"/>
  <c r="P120" i="1" s="1"/>
  <c r="I121" i="1"/>
  <c r="B202" i="1"/>
  <c r="G201" i="1"/>
  <c r="F201" i="1"/>
  <c r="E201" i="1"/>
  <c r="J121" i="1" l="1"/>
  <c r="D121" i="1" s="1" a="1"/>
  <c r="D121" i="1" s="1"/>
  <c r="H122" i="1" s="1"/>
  <c r="C121" i="1"/>
  <c r="N125" i="1"/>
  <c r="M125" i="1"/>
  <c r="G202" i="1"/>
  <c r="F202" i="1"/>
  <c r="E202" i="1"/>
  <c r="B203" i="1"/>
  <c r="I122" i="1" l="1"/>
  <c r="J122" i="1" s="1"/>
  <c r="L122" i="1"/>
  <c r="C122" i="1" s="1"/>
  <c r="K121" i="1" a="1"/>
  <c r="K121" i="1" s="1"/>
  <c r="O121" i="1" s="1"/>
  <c r="P121" i="1" s="1"/>
  <c r="V121" i="1"/>
  <c r="B204" i="1"/>
  <c r="G203" i="1"/>
  <c r="F203" i="1"/>
  <c r="E203" i="1"/>
  <c r="M126" i="1" l="1"/>
  <c r="N126" i="1"/>
  <c r="D122" i="1" a="1"/>
  <c r="D122" i="1" s="1"/>
  <c r="K122" i="1" s="1" a="1"/>
  <c r="K122" i="1" s="1"/>
  <c r="O122" i="1" s="1"/>
  <c r="P122" i="1" s="1"/>
  <c r="G204" i="1"/>
  <c r="F204" i="1"/>
  <c r="E204" i="1"/>
  <c r="B205" i="1"/>
  <c r="V122" i="1" l="1"/>
  <c r="H123" i="1"/>
  <c r="L123" i="1"/>
  <c r="I123" i="1"/>
  <c r="B206" i="1"/>
  <c r="G205" i="1"/>
  <c r="F205" i="1"/>
  <c r="E205" i="1"/>
  <c r="C123" i="1" l="1"/>
  <c r="M127" i="1"/>
  <c r="N127" i="1"/>
  <c r="J123" i="1"/>
  <c r="D123" i="1" s="1" a="1"/>
  <c r="D123" i="1" s="1"/>
  <c r="G206" i="1"/>
  <c r="F206" i="1"/>
  <c r="E206" i="1"/>
  <c r="B207" i="1"/>
  <c r="K123" i="1" l="1" a="1"/>
  <c r="K123" i="1" s="1"/>
  <c r="O123" i="1" s="1"/>
  <c r="P123" i="1" s="1"/>
  <c r="L124" i="1"/>
  <c r="H124" i="1"/>
  <c r="I124" i="1"/>
  <c r="V123" i="1"/>
  <c r="B208" i="1"/>
  <c r="G207" i="1"/>
  <c r="F207" i="1"/>
  <c r="E207" i="1"/>
  <c r="J124" i="1" l="1"/>
  <c r="D124" i="1" a="1"/>
  <c r="D124" i="1" s="1"/>
  <c r="L125" i="1" s="1"/>
  <c r="C124" i="1"/>
  <c r="M128" i="1"/>
  <c r="N128" i="1"/>
  <c r="G208" i="1"/>
  <c r="F208" i="1"/>
  <c r="E208" i="1"/>
  <c r="B209" i="1"/>
  <c r="H125" i="1" l="1"/>
  <c r="J125" i="1" s="1"/>
  <c r="D125" i="1" s="1" a="1"/>
  <c r="D125" i="1" s="1"/>
  <c r="H126" i="1" s="1"/>
  <c r="I125" i="1"/>
  <c r="K124" i="1" a="1"/>
  <c r="K124" i="1" s="1"/>
  <c r="O124" i="1" s="1"/>
  <c r="P124" i="1" s="1"/>
  <c r="V124" i="1"/>
  <c r="C125" i="1"/>
  <c r="N129" i="1"/>
  <c r="M129" i="1"/>
  <c r="B210" i="1"/>
  <c r="G209" i="1"/>
  <c r="F209" i="1"/>
  <c r="E209" i="1"/>
  <c r="I126" i="1" l="1"/>
  <c r="J126" i="1" s="1"/>
  <c r="D126" i="1" s="1" a="1"/>
  <c r="D126" i="1" s="1"/>
  <c r="K125" i="1" a="1"/>
  <c r="K125" i="1" s="1"/>
  <c r="O125" i="1" s="1"/>
  <c r="P125" i="1" s="1"/>
  <c r="L126" i="1"/>
  <c r="M130" i="1" s="1"/>
  <c r="V125" i="1"/>
  <c r="G210" i="1"/>
  <c r="F210" i="1"/>
  <c r="E210" i="1"/>
  <c r="B211" i="1"/>
  <c r="C126" i="1" l="1"/>
  <c r="N130" i="1"/>
  <c r="L127" i="1"/>
  <c r="C127" i="1" s="1"/>
  <c r="H127" i="1"/>
  <c r="V126" i="1"/>
  <c r="K126" i="1" a="1"/>
  <c r="K126" i="1" s="1"/>
  <c r="O126" i="1" s="1"/>
  <c r="P126" i="1" s="1"/>
  <c r="I127" i="1"/>
  <c r="J127" i="1" s="1"/>
  <c r="D127" i="1" s="1" a="1"/>
  <c r="D127" i="1" s="1"/>
  <c r="B212" i="1"/>
  <c r="G211" i="1"/>
  <c r="F211" i="1"/>
  <c r="E211" i="1"/>
  <c r="M131" i="1" l="1"/>
  <c r="N131" i="1"/>
  <c r="L128" i="1"/>
  <c r="K127" i="1" a="1"/>
  <c r="K127" i="1" s="1"/>
  <c r="O127" i="1" s="1"/>
  <c r="P127" i="1" s="1"/>
  <c r="V127" i="1"/>
  <c r="H128" i="1"/>
  <c r="I128" i="1"/>
  <c r="G212" i="1"/>
  <c r="F212" i="1"/>
  <c r="E212" i="1"/>
  <c r="B213" i="1"/>
  <c r="J128" i="1" l="1"/>
  <c r="D128" i="1" s="1" a="1"/>
  <c r="D128" i="1" s="1"/>
  <c r="C128" i="1"/>
  <c r="N132" i="1"/>
  <c r="M132" i="1"/>
  <c r="B214" i="1"/>
  <c r="G213" i="1"/>
  <c r="F213" i="1"/>
  <c r="E213" i="1"/>
  <c r="K128" i="1" l="1" a="1"/>
  <c r="K128" i="1" s="1"/>
  <c r="O128" i="1" s="1"/>
  <c r="P128" i="1" s="1"/>
  <c r="V128" i="1"/>
  <c r="I129" i="1"/>
  <c r="L129" i="1"/>
  <c r="H129" i="1"/>
  <c r="G214" i="1"/>
  <c r="F214" i="1"/>
  <c r="E214" i="1"/>
  <c r="B215" i="1"/>
  <c r="J129" i="1" l="1"/>
  <c r="D129" i="1" s="1" a="1"/>
  <c r="D129" i="1" s="1"/>
  <c r="H130" i="1" s="1"/>
  <c r="N133" i="1"/>
  <c r="M133" i="1"/>
  <c r="C129" i="1"/>
  <c r="B216" i="1"/>
  <c r="G215" i="1"/>
  <c r="F215" i="1"/>
  <c r="E215" i="1"/>
  <c r="K129" i="1" l="1" a="1"/>
  <c r="K129" i="1" s="1"/>
  <c r="O129" i="1" s="1"/>
  <c r="P129" i="1" s="1"/>
  <c r="V129" i="1"/>
  <c r="I130" i="1"/>
  <c r="J130" i="1" s="1"/>
  <c r="L130" i="1"/>
  <c r="N134" i="1" s="1"/>
  <c r="G216" i="1"/>
  <c r="F216" i="1"/>
  <c r="E216" i="1"/>
  <c r="B217" i="1"/>
  <c r="D130" i="1" l="1" a="1"/>
  <c r="D130" i="1" s="1"/>
  <c r="I131" i="1" s="1"/>
  <c r="M134" i="1"/>
  <c r="C130" i="1"/>
  <c r="I218" i="1"/>
  <c r="J218" i="1" s="1"/>
  <c r="B218" i="1"/>
  <c r="L131" i="1" l="1"/>
  <c r="V130" i="1"/>
  <c r="H131" i="1"/>
  <c r="K130" i="1" a="1"/>
  <c r="K130" i="1" s="1"/>
  <c r="O130" i="1" s="1"/>
  <c r="P130" i="1" s="1"/>
  <c r="J131" i="1"/>
  <c r="D131" i="1" s="1" a="1"/>
  <c r="D131" i="1" s="1"/>
  <c r="M135" i="1"/>
  <c r="N135" i="1"/>
  <c r="C131" i="1"/>
  <c r="L218" i="1"/>
  <c r="I219" i="1"/>
  <c r="J219" i="1" s="1"/>
  <c r="B219" i="1"/>
  <c r="L132" i="1" l="1"/>
  <c r="H132" i="1"/>
  <c r="C132" i="1"/>
  <c r="V131" i="1"/>
  <c r="K131" i="1" a="1"/>
  <c r="K131" i="1" s="1"/>
  <c r="O131" i="1" s="1"/>
  <c r="P131" i="1" s="1"/>
  <c r="I132" i="1"/>
  <c r="J132" i="1"/>
  <c r="D132" i="1" s="1" a="1"/>
  <c r="D132" i="1" s="1"/>
  <c r="H133" i="1" s="1"/>
  <c r="L219" i="1"/>
  <c r="I220" i="1"/>
  <c r="J220" i="1" s="1"/>
  <c r="B220" i="1"/>
  <c r="N222" i="1"/>
  <c r="K222" i="1" s="1" a="1"/>
  <c r="K222" i="1" s="1"/>
  <c r="O222" i="1" s="1"/>
  <c r="P222" i="1" s="1"/>
  <c r="M222" i="1"/>
  <c r="N136" i="1" l="1"/>
  <c r="M136" i="1"/>
  <c r="K132" i="1" a="1"/>
  <c r="K132" i="1" s="1"/>
  <c r="O132" i="1" s="1"/>
  <c r="P132" i="1" s="1"/>
  <c r="V132" i="1"/>
  <c r="L133" i="1"/>
  <c r="C133" i="1" s="1"/>
  <c r="I133" i="1"/>
  <c r="J133" i="1" s="1"/>
  <c r="D133" i="1" s="1" a="1"/>
  <c r="D133" i="1" s="1"/>
  <c r="L220" i="1"/>
  <c r="I221" i="1"/>
  <c r="M223" i="1"/>
  <c r="N223" i="1"/>
  <c r="K223" i="1" s="1" a="1"/>
  <c r="K223" i="1" s="1"/>
  <c r="O223" i="1" s="1"/>
  <c r="P223" i="1" s="1"/>
  <c r="M137" i="1" l="1"/>
  <c r="N137" i="1"/>
  <c r="L134" i="1"/>
  <c r="C134" i="1" s="1"/>
  <c r="I134" i="1"/>
  <c r="H134" i="1"/>
  <c r="K133" i="1" a="1"/>
  <c r="K133" i="1" s="1"/>
  <c r="O133" i="1" s="1"/>
  <c r="P133" i="1" s="1"/>
  <c r="V133" i="1"/>
  <c r="J221" i="1"/>
  <c r="N224" i="1"/>
  <c r="M224" i="1"/>
  <c r="J134" i="1" l="1"/>
  <c r="D134" i="1" s="1" a="1"/>
  <c r="D134" i="1" s="1"/>
  <c r="L135" i="1" s="1"/>
  <c r="M138" i="1"/>
  <c r="N138" i="1"/>
  <c r="K224" i="1" a="1"/>
  <c r="K224" i="1" s="1"/>
  <c r="O224" i="1" s="1"/>
  <c r="I135" i="1" l="1"/>
  <c r="H135" i="1"/>
  <c r="V134" i="1"/>
  <c r="K134" i="1" a="1"/>
  <c r="K134" i="1" s="1"/>
  <c r="O134" i="1" s="1"/>
  <c r="P134" i="1" s="1"/>
  <c r="C135" i="1"/>
  <c r="N139" i="1"/>
  <c r="M139" i="1"/>
  <c r="P224" i="1"/>
  <c r="J135" i="1" l="1"/>
  <c r="D135" i="1" s="1" a="1"/>
  <c r="D135" i="1" s="1"/>
  <c r="H136" i="1" s="1"/>
  <c r="K135" i="1" l="1" a="1"/>
  <c r="K135" i="1" s="1"/>
  <c r="O135" i="1" s="1"/>
  <c r="P135" i="1" s="1"/>
  <c r="V135" i="1"/>
  <c r="L136" i="1"/>
  <c r="M140" i="1" s="1"/>
  <c r="I136" i="1"/>
  <c r="J136" i="1" s="1"/>
  <c r="D136" i="1" s="1" a="1"/>
  <c r="D136" i="1" s="1"/>
  <c r="C136" i="1" l="1"/>
  <c r="N140" i="1"/>
  <c r="V136" i="1"/>
  <c r="L137" i="1"/>
  <c r="I137" i="1"/>
  <c r="H137" i="1"/>
  <c r="K136" i="1" a="1"/>
  <c r="K136" i="1" s="1"/>
  <c r="O136" i="1" s="1"/>
  <c r="P136" i="1" s="1"/>
  <c r="J137" i="1" l="1"/>
  <c r="D137" i="1" s="1" a="1"/>
  <c r="D137" i="1" s="1"/>
  <c r="N141" i="1"/>
  <c r="M141" i="1"/>
  <c r="C137" i="1"/>
  <c r="L138" i="1" l="1"/>
  <c r="C138" i="1" s="1"/>
  <c r="I138" i="1"/>
  <c r="H138" i="1"/>
  <c r="V137" i="1"/>
  <c r="K137" i="1" a="1"/>
  <c r="K137" i="1" s="1"/>
  <c r="O137" i="1" s="1"/>
  <c r="P137" i="1" s="1"/>
  <c r="J138" i="1" l="1"/>
  <c r="D138" i="1" s="1" a="1"/>
  <c r="D138" i="1" s="1"/>
  <c r="K138" i="1" s="1" a="1"/>
  <c r="K138" i="1" s="1"/>
  <c r="O138" i="1" s="1"/>
  <c r="P138" i="1" s="1"/>
  <c r="N142" i="1"/>
  <c r="M142" i="1"/>
  <c r="L139" i="1" l="1"/>
  <c r="C139" i="1" s="1"/>
  <c r="I139" i="1"/>
  <c r="H139" i="1"/>
  <c r="V138" i="1"/>
  <c r="M143" i="1"/>
  <c r="N143" i="1" l="1"/>
  <c r="J139" i="1"/>
  <c r="D139" i="1" s="1" a="1"/>
  <c r="D139" i="1" s="1"/>
  <c r="V139" i="1" l="1"/>
  <c r="K139" i="1" a="1"/>
  <c r="K139" i="1" s="1"/>
  <c r="O139" i="1" s="1"/>
  <c r="P139" i="1" s="1"/>
  <c r="L140" i="1"/>
  <c r="H140" i="1"/>
  <c r="I140" i="1"/>
  <c r="J140" i="1" l="1"/>
  <c r="D140" i="1" s="1" a="1"/>
  <c r="D140" i="1" s="1"/>
  <c r="C140" i="1"/>
  <c r="N144" i="1"/>
  <c r="M144" i="1"/>
  <c r="I141" i="1" l="1"/>
  <c r="K140" i="1" a="1"/>
  <c r="K140" i="1" s="1"/>
  <c r="O140" i="1" s="1"/>
  <c r="P140" i="1" s="1"/>
  <c r="L141" i="1"/>
  <c r="H141" i="1"/>
  <c r="J141" i="1" s="1"/>
  <c r="D141" i="1" s="1" a="1"/>
  <c r="D141" i="1" s="1"/>
  <c r="V140" i="1"/>
  <c r="K141" i="1" l="1" a="1"/>
  <c r="K141" i="1" s="1"/>
  <c r="O141" i="1" s="1"/>
  <c r="P141" i="1" s="1"/>
  <c r="H142" i="1"/>
  <c r="L142" i="1"/>
  <c r="I142" i="1"/>
  <c r="V141" i="1"/>
  <c r="M145" i="1"/>
  <c r="N145" i="1"/>
  <c r="C141" i="1"/>
  <c r="N146" i="1" l="1"/>
  <c r="M146" i="1"/>
  <c r="J142" i="1"/>
  <c r="D142" i="1" s="1" a="1"/>
  <c r="D142" i="1" s="1"/>
  <c r="C142" i="1"/>
  <c r="L143" i="1" l="1"/>
  <c r="I143" i="1"/>
  <c r="H143" i="1"/>
  <c r="K142" i="1" a="1"/>
  <c r="K142" i="1" s="1"/>
  <c r="O142" i="1" s="1"/>
  <c r="P142" i="1" s="1"/>
  <c r="V142" i="1"/>
  <c r="J143" i="1" l="1"/>
  <c r="D143" i="1" s="1" a="1"/>
  <c r="D143" i="1" s="1"/>
  <c r="C143" i="1"/>
  <c r="M147" i="1"/>
  <c r="N147" i="1"/>
  <c r="K143" i="1" l="1" a="1"/>
  <c r="K143" i="1" s="1"/>
  <c r="O143" i="1" s="1"/>
  <c r="P143" i="1" s="1"/>
  <c r="H144" i="1"/>
  <c r="I144" i="1"/>
  <c r="L144" i="1"/>
  <c r="V143" i="1"/>
  <c r="C144" i="1" l="1"/>
  <c r="M148" i="1"/>
  <c r="N148" i="1"/>
  <c r="J144" i="1"/>
  <c r="D144" i="1" s="1" a="1"/>
  <c r="D144" i="1" s="1"/>
  <c r="I145" i="1" l="1"/>
  <c r="L145" i="1"/>
  <c r="C145" i="1" s="1"/>
  <c r="H145" i="1"/>
  <c r="V144" i="1"/>
  <c r="K144" i="1" a="1"/>
  <c r="K144" i="1" s="1"/>
  <c r="O144" i="1" s="1"/>
  <c r="P144" i="1" s="1"/>
  <c r="J145" i="1" l="1"/>
  <c r="D145" i="1" s="1" a="1"/>
  <c r="D145" i="1" s="1"/>
  <c r="M149" i="1"/>
  <c r="N149" i="1"/>
  <c r="L146" i="1" l="1"/>
  <c r="I146" i="1"/>
  <c r="H146" i="1"/>
  <c r="V145" i="1"/>
  <c r="K145" i="1" a="1"/>
  <c r="K145" i="1" s="1"/>
  <c r="O145" i="1" s="1"/>
  <c r="P145" i="1" s="1"/>
  <c r="J146" i="1" l="1"/>
  <c r="D146" i="1" s="1" a="1"/>
  <c r="D146" i="1" s="1"/>
  <c r="C146" i="1"/>
  <c r="N150" i="1"/>
  <c r="M150" i="1"/>
  <c r="V146" i="1" l="1"/>
  <c r="H147" i="1"/>
  <c r="I147" i="1"/>
  <c r="L147" i="1"/>
  <c r="K146" i="1" a="1"/>
  <c r="K146" i="1" s="1"/>
  <c r="O146" i="1" s="1"/>
  <c r="P146" i="1" s="1"/>
  <c r="N151" i="1" l="1"/>
  <c r="M151" i="1"/>
  <c r="J147" i="1"/>
  <c r="D147" i="1" s="1" a="1"/>
  <c r="D147" i="1" s="1"/>
  <c r="C147" i="1"/>
  <c r="L148" i="1" l="1"/>
  <c r="H148" i="1"/>
  <c r="I148" i="1"/>
  <c r="K147" i="1" a="1"/>
  <c r="K147" i="1" s="1"/>
  <c r="O147" i="1" s="1"/>
  <c r="P147" i="1" s="1"/>
  <c r="V147" i="1"/>
  <c r="J148" i="1" l="1"/>
  <c r="D148" i="1" s="1" a="1"/>
  <c r="D148" i="1" s="1"/>
  <c r="C148" i="1"/>
  <c r="M152" i="1"/>
  <c r="N152" i="1"/>
  <c r="K148" i="1" l="1" a="1"/>
  <c r="K148" i="1" s="1"/>
  <c r="O148" i="1" s="1"/>
  <c r="P148" i="1" s="1"/>
  <c r="I149" i="1"/>
  <c r="H149" i="1"/>
  <c r="J149" i="1" s="1"/>
  <c r="D149" i="1" s="1" a="1"/>
  <c r="D149" i="1" s="1"/>
  <c r="L149" i="1"/>
  <c r="C149" i="1" s="1"/>
  <c r="V148" i="1"/>
  <c r="N153" i="1" l="1"/>
  <c r="M153" i="1"/>
  <c r="I150" i="1"/>
  <c r="H150" i="1"/>
  <c r="L150" i="1"/>
  <c r="C150" i="1" s="1"/>
  <c r="K149" i="1" a="1"/>
  <c r="K149" i="1" s="1"/>
  <c r="O149" i="1" s="1"/>
  <c r="P149" i="1" s="1"/>
  <c r="V149" i="1"/>
  <c r="J150" i="1" l="1"/>
  <c r="D150" i="1" s="1" a="1"/>
  <c r="D150" i="1" s="1"/>
  <c r="V150" i="1" s="1"/>
  <c r="M154" i="1"/>
  <c r="N154" i="1"/>
  <c r="K150" i="1" l="1" a="1"/>
  <c r="K150" i="1" s="1"/>
  <c r="O150" i="1" s="1"/>
  <c r="P150" i="1" s="1"/>
  <c r="L151" i="1"/>
  <c r="M155" i="1" s="1"/>
  <c r="H151" i="1"/>
  <c r="I151" i="1"/>
  <c r="C151" i="1" l="1"/>
  <c r="N155" i="1"/>
  <c r="J151" i="1"/>
  <c r="D151" i="1" s="1" a="1"/>
  <c r="D151" i="1" s="1"/>
  <c r="V151" i="1" l="1"/>
  <c r="K151" i="1" a="1"/>
  <c r="K151" i="1" s="1"/>
  <c r="O151" i="1" s="1"/>
  <c r="P151" i="1" s="1"/>
  <c r="H152" i="1"/>
  <c r="I152" i="1"/>
  <c r="L152" i="1"/>
  <c r="N156" i="1" l="1"/>
  <c r="C152" i="1"/>
  <c r="M156" i="1"/>
  <c r="J152" i="1"/>
  <c r="D152" i="1" s="1" a="1"/>
  <c r="D152" i="1" s="1"/>
  <c r="H153" i="1" l="1"/>
  <c r="I153" i="1"/>
  <c r="L153" i="1"/>
  <c r="C153" i="1" s="1"/>
  <c r="V152" i="1"/>
  <c r="K152" i="1" a="1"/>
  <c r="K152" i="1" s="1"/>
  <c r="O152" i="1" s="1"/>
  <c r="P152" i="1" s="1"/>
  <c r="J153" i="1" l="1"/>
  <c r="D153" i="1" s="1" a="1"/>
  <c r="D153" i="1" s="1"/>
  <c r="K153" i="1" s="1" a="1"/>
  <c r="K153" i="1" s="1"/>
  <c r="O153" i="1" s="1"/>
  <c r="P153" i="1" s="1"/>
  <c r="N157" i="1"/>
  <c r="M157" i="1"/>
  <c r="H154" i="1" l="1"/>
  <c r="I154" i="1"/>
  <c r="L154" i="1"/>
  <c r="V153" i="1"/>
  <c r="C154" i="1" l="1"/>
  <c r="M158" i="1"/>
  <c r="N158" i="1"/>
  <c r="J154" i="1"/>
  <c r="D154" i="1" s="1" a="1"/>
  <c r="D154" i="1" s="1"/>
  <c r="K154" i="1" l="1" a="1"/>
  <c r="K154" i="1" s="1"/>
  <c r="O154" i="1" s="1"/>
  <c r="P154" i="1" s="1"/>
  <c r="L155" i="1"/>
  <c r="C155" i="1" s="1"/>
  <c r="I155" i="1"/>
  <c r="H155" i="1"/>
  <c r="J155" i="1" s="1"/>
  <c r="V154" i="1"/>
  <c r="D155" i="1" l="1" a="1"/>
  <c r="D155" i="1" s="1"/>
  <c r="M159" i="1"/>
  <c r="N159" i="1"/>
  <c r="H156" i="1" l="1"/>
  <c r="L156" i="1"/>
  <c r="C156" i="1" s="1"/>
  <c r="I156" i="1"/>
  <c r="V155" i="1"/>
  <c r="K155" i="1" a="1"/>
  <c r="K155" i="1" s="1"/>
  <c r="O155" i="1" s="1"/>
  <c r="P155" i="1" s="1"/>
  <c r="J156" i="1" l="1"/>
  <c r="D156" i="1" s="1" a="1"/>
  <c r="D156" i="1" s="1"/>
  <c r="K156" i="1" s="1" a="1"/>
  <c r="K156" i="1" s="1"/>
  <c r="O156" i="1" s="1"/>
  <c r="P156" i="1" s="1"/>
  <c r="N160" i="1"/>
  <c r="M160" i="1"/>
  <c r="I157" i="1" l="1"/>
  <c r="H157" i="1"/>
  <c r="J157" i="1" s="1"/>
  <c r="D157" i="1" s="1" a="1"/>
  <c r="D157" i="1" s="1"/>
  <c r="V156" i="1"/>
  <c r="L157" i="1"/>
  <c r="C157" i="1" s="1"/>
  <c r="N161" i="1" l="1"/>
  <c r="M161" i="1"/>
  <c r="V157" i="1"/>
  <c r="L158" i="1"/>
  <c r="C158" i="1" s="1"/>
  <c r="I158" i="1"/>
  <c r="K157" i="1" a="1"/>
  <c r="K157" i="1" s="1"/>
  <c r="O157" i="1" s="1"/>
  <c r="P157" i="1" s="1"/>
  <c r="H158" i="1"/>
  <c r="J158" i="1" s="1"/>
  <c r="D158" i="1" l="1" a="1"/>
  <c r="D158" i="1" s="1"/>
  <c r="N162" i="1"/>
  <c r="M162" i="1"/>
  <c r="H159" i="1" l="1"/>
  <c r="V158" i="1"/>
  <c r="L159" i="1"/>
  <c r="C159" i="1" s="1"/>
  <c r="I159" i="1"/>
  <c r="K158" i="1" a="1"/>
  <c r="K158" i="1" s="1"/>
  <c r="O158" i="1" s="1"/>
  <c r="P158" i="1" s="1"/>
  <c r="N163" i="1" l="1"/>
  <c r="M163" i="1"/>
  <c r="J159" i="1"/>
  <c r="D159" i="1" s="1" a="1"/>
  <c r="D159" i="1" s="1"/>
  <c r="I160" i="1" l="1"/>
  <c r="L160" i="1"/>
  <c r="H160" i="1"/>
  <c r="V159" i="1"/>
  <c r="K159" i="1" a="1"/>
  <c r="K159" i="1" s="1"/>
  <c r="O159" i="1" s="1"/>
  <c r="P159" i="1" s="1"/>
  <c r="J160" i="1" l="1"/>
  <c r="D160" i="1" s="1" a="1"/>
  <c r="D160" i="1" s="1"/>
  <c r="N164" i="1"/>
  <c r="M164" i="1"/>
  <c r="C160" i="1"/>
  <c r="I161" i="1" l="1"/>
  <c r="L161" i="1"/>
  <c r="C161" i="1" s="1"/>
  <c r="H161" i="1"/>
  <c r="V160" i="1"/>
  <c r="K160" i="1" a="1"/>
  <c r="K160" i="1" s="1"/>
  <c r="O160" i="1" s="1"/>
  <c r="P160" i="1" s="1"/>
  <c r="J161" i="1" l="1"/>
  <c r="D161" i="1" s="1" a="1"/>
  <c r="D161" i="1" s="1"/>
  <c r="V161" i="1" s="1"/>
  <c r="M165" i="1"/>
  <c r="N165" i="1"/>
  <c r="K161" i="1" l="1" a="1"/>
  <c r="K161" i="1" s="1"/>
  <c r="O161" i="1" s="1"/>
  <c r="P161" i="1" s="1"/>
  <c r="I162" i="1"/>
  <c r="H162" i="1"/>
  <c r="J162" i="1" s="1"/>
  <c r="L162" i="1"/>
  <c r="N166" i="1" s="1"/>
  <c r="D162" i="1" l="1" a="1"/>
  <c r="D162" i="1" s="1"/>
  <c r="I163" i="1" s="1"/>
  <c r="C162" i="1"/>
  <c r="M166" i="1"/>
  <c r="V162" i="1" l="1"/>
  <c r="K162" i="1" a="1"/>
  <c r="K162" i="1" s="1"/>
  <c r="O162" i="1" s="1"/>
  <c r="P162" i="1" s="1"/>
  <c r="H163" i="1"/>
  <c r="J163" i="1" s="1"/>
  <c r="L163" i="1"/>
  <c r="C163" i="1" s="1"/>
  <c r="N167" i="1" l="1"/>
  <c r="D163" i="1" a="1"/>
  <c r="D163" i="1" s="1"/>
  <c r="I164" i="1" s="1"/>
  <c r="M167" i="1"/>
  <c r="L164" i="1" l="1"/>
  <c r="V163" i="1"/>
  <c r="K163" i="1" a="1"/>
  <c r="K163" i="1" s="1"/>
  <c r="O163" i="1" s="1"/>
  <c r="P163" i="1" s="1"/>
  <c r="H164" i="1"/>
  <c r="J164" i="1" s="1"/>
  <c r="D164" i="1" s="1" a="1"/>
  <c r="D164" i="1" s="1"/>
  <c r="C164" i="1"/>
  <c r="N168" i="1"/>
  <c r="M168" i="1"/>
  <c r="H165" i="1" l="1"/>
  <c r="L165" i="1"/>
  <c r="V164" i="1"/>
  <c r="K164" i="1" a="1"/>
  <c r="K164" i="1" s="1"/>
  <c r="O164" i="1" s="1"/>
  <c r="P164" i="1" s="1"/>
  <c r="I165" i="1"/>
  <c r="N169" i="1" l="1"/>
  <c r="M169" i="1"/>
  <c r="J165" i="1"/>
  <c r="D165" i="1" s="1" a="1"/>
  <c r="D165" i="1" s="1"/>
  <c r="C165" i="1"/>
  <c r="K165" i="1" l="1" a="1"/>
  <c r="K165" i="1" s="1"/>
  <c r="O165" i="1" s="1"/>
  <c r="P165" i="1" s="1"/>
  <c r="H166" i="1"/>
  <c r="I166" i="1"/>
  <c r="L166" i="1"/>
  <c r="C166" i="1" s="1"/>
  <c r="V165" i="1"/>
  <c r="J166" i="1" l="1"/>
  <c r="D166" i="1" a="1"/>
  <c r="D166" i="1" s="1"/>
  <c r="N170" i="1"/>
  <c r="M170" i="1"/>
  <c r="L167" i="1" l="1"/>
  <c r="V166" i="1"/>
  <c r="K166" i="1" a="1"/>
  <c r="K166" i="1" s="1"/>
  <c r="O166" i="1" s="1"/>
  <c r="P166" i="1" s="1"/>
  <c r="H167" i="1"/>
  <c r="I167" i="1"/>
  <c r="J167" i="1" l="1"/>
  <c r="D167" i="1" s="1" a="1"/>
  <c r="D167" i="1" s="1"/>
  <c r="M171" i="1"/>
  <c r="N171" i="1"/>
  <c r="C167" i="1"/>
  <c r="L168" i="1" l="1"/>
  <c r="C168" i="1" s="1"/>
  <c r="K167" i="1" a="1"/>
  <c r="K167" i="1" s="1"/>
  <c r="O167" i="1" s="1"/>
  <c r="P167" i="1" s="1"/>
  <c r="H168" i="1"/>
  <c r="I168" i="1"/>
  <c r="V167" i="1"/>
  <c r="J168" i="1" l="1"/>
  <c r="D168" i="1" s="1" a="1"/>
  <c r="D168" i="1" s="1"/>
  <c r="K168" i="1" s="1" a="1"/>
  <c r="K168" i="1" s="1"/>
  <c r="O168" i="1" s="1"/>
  <c r="P168" i="1" s="1"/>
  <c r="N172" i="1"/>
  <c r="M172" i="1"/>
  <c r="L169" i="1" l="1"/>
  <c r="N173" i="1" s="1"/>
  <c r="H169" i="1"/>
  <c r="J169" i="1" s="1"/>
  <c r="D169" i="1" s="1" a="1"/>
  <c r="D169" i="1" s="1"/>
  <c r="I169" i="1"/>
  <c r="V168" i="1"/>
  <c r="M173" i="1"/>
  <c r="C169" i="1"/>
  <c r="V169" i="1" l="1"/>
  <c r="K169" i="1" a="1"/>
  <c r="K169" i="1" s="1"/>
  <c r="O169" i="1" s="1"/>
  <c r="P169" i="1" s="1"/>
  <c r="L170" i="1"/>
  <c r="H170" i="1"/>
  <c r="I170" i="1"/>
  <c r="J170" i="1" l="1"/>
  <c r="D170" i="1" s="1" a="1"/>
  <c r="D170" i="1" s="1"/>
  <c r="M174" i="1"/>
  <c r="N174" i="1"/>
  <c r="C170" i="1"/>
  <c r="H171" i="1" l="1"/>
  <c r="L171" i="1"/>
  <c r="C171" i="1" s="1"/>
  <c r="I171" i="1"/>
  <c r="V170" i="1"/>
  <c r="K170" i="1" a="1"/>
  <c r="K170" i="1" s="1"/>
  <c r="O170" i="1" s="1"/>
  <c r="P170" i="1" s="1"/>
  <c r="J171" i="1" l="1"/>
  <c r="D171" i="1" s="1" a="1"/>
  <c r="D171" i="1" s="1"/>
  <c r="H172" i="1" s="1"/>
  <c r="M175" i="1"/>
  <c r="N175" i="1"/>
  <c r="K171" i="1" l="1" a="1"/>
  <c r="K171" i="1" s="1"/>
  <c r="O171" i="1" s="1"/>
  <c r="P171" i="1" s="1"/>
  <c r="L172" i="1"/>
  <c r="I172" i="1"/>
  <c r="J172" i="1" s="1"/>
  <c r="V171" i="1"/>
  <c r="D172" i="1" l="1" a="1"/>
  <c r="D172" i="1" s="1"/>
  <c r="C172" i="1"/>
  <c r="N176" i="1"/>
  <c r="M176" i="1"/>
  <c r="I173" i="1" l="1"/>
  <c r="L173" i="1"/>
  <c r="H173" i="1"/>
  <c r="V172" i="1"/>
  <c r="K172" i="1" a="1"/>
  <c r="K172" i="1" s="1"/>
  <c r="O172" i="1" s="1"/>
  <c r="P172" i="1" s="1"/>
  <c r="J173" i="1" l="1"/>
  <c r="D173" i="1" s="1" a="1"/>
  <c r="D173" i="1" s="1"/>
  <c r="H174" i="1" s="1"/>
  <c r="C173" i="1"/>
  <c r="M177" i="1"/>
  <c r="N177" i="1"/>
  <c r="I174" i="1" l="1"/>
  <c r="J174" i="1" s="1"/>
  <c r="D174" i="1" s="1" a="1"/>
  <c r="D174" i="1" s="1"/>
  <c r="V173" i="1"/>
  <c r="L174" i="1"/>
  <c r="K173" i="1" a="1"/>
  <c r="K173" i="1" s="1"/>
  <c r="O173" i="1" s="1"/>
  <c r="P173" i="1" s="1"/>
  <c r="C174" i="1"/>
  <c r="N178" i="1"/>
  <c r="M178" i="1"/>
  <c r="H175" i="1" l="1"/>
  <c r="V174" i="1"/>
  <c r="I175" i="1"/>
  <c r="K174" i="1" a="1"/>
  <c r="K174" i="1" s="1"/>
  <c r="O174" i="1" s="1"/>
  <c r="P174" i="1" s="1"/>
  <c r="L175" i="1"/>
  <c r="J175" i="1" l="1"/>
  <c r="D175" i="1" s="1" a="1"/>
  <c r="D175" i="1" s="1"/>
  <c r="I176" i="1" s="1"/>
  <c r="C175" i="1"/>
  <c r="M179" i="1"/>
  <c r="N179" i="1"/>
  <c r="H176" i="1" l="1"/>
  <c r="J176" i="1" s="1"/>
  <c r="V175" i="1"/>
  <c r="K175" i="1" a="1"/>
  <c r="K175" i="1" s="1"/>
  <c r="O175" i="1" s="1"/>
  <c r="P175" i="1" s="1"/>
  <c r="L176" i="1"/>
  <c r="D176" i="1" l="1" a="1"/>
  <c r="D176" i="1" s="1"/>
  <c r="N180" i="1"/>
  <c r="M180" i="1"/>
  <c r="C176" i="1"/>
  <c r="K176" i="1" l="1" a="1"/>
  <c r="K176" i="1" s="1"/>
  <c r="O176" i="1" s="1"/>
  <c r="P176" i="1" s="1"/>
  <c r="H177" i="1"/>
  <c r="V176" i="1"/>
  <c r="L177" i="1"/>
  <c r="I177" i="1"/>
  <c r="C177" i="1" l="1"/>
  <c r="N181" i="1"/>
  <c r="M181" i="1"/>
  <c r="J177" i="1"/>
  <c r="D177" i="1" s="1" a="1"/>
  <c r="D177" i="1" s="1"/>
  <c r="L178" i="1" l="1"/>
  <c r="V177" i="1"/>
  <c r="K177" i="1" a="1"/>
  <c r="K177" i="1" s="1"/>
  <c r="O177" i="1" s="1"/>
  <c r="P177" i="1" s="1"/>
  <c r="H178" i="1"/>
  <c r="I178" i="1"/>
  <c r="J178" i="1" l="1"/>
  <c r="D178" i="1" a="1"/>
  <c r="D178" i="1" s="1"/>
  <c r="C178" i="1"/>
  <c r="M182" i="1"/>
  <c r="N182" i="1"/>
  <c r="I179" i="1" l="1"/>
  <c r="H179" i="1"/>
  <c r="J179" i="1" s="1"/>
  <c r="D179" i="1" s="1" a="1"/>
  <c r="D179" i="1" s="1"/>
  <c r="K179" i="1" s="1" a="1"/>
  <c r="K179" i="1" s="1"/>
  <c r="O179" i="1" s="1"/>
  <c r="P179" i="1" s="1"/>
  <c r="L179" i="1"/>
  <c r="V178" i="1"/>
  <c r="K178" i="1" a="1"/>
  <c r="K178" i="1" s="1"/>
  <c r="O178" i="1" s="1"/>
  <c r="P178" i="1" s="1"/>
  <c r="C179" i="1" l="1"/>
  <c r="M183" i="1"/>
  <c r="N183" i="1"/>
  <c r="V179" i="1"/>
  <c r="L180" i="1"/>
  <c r="H180" i="1"/>
  <c r="I180" i="1"/>
  <c r="J180" i="1" l="1"/>
  <c r="D180" i="1" s="1" a="1"/>
  <c r="D180" i="1" s="1"/>
  <c r="C180" i="1"/>
  <c r="N184" i="1"/>
  <c r="M184" i="1"/>
  <c r="I181" i="1" l="1"/>
  <c r="L181" i="1"/>
  <c r="H181" i="1"/>
  <c r="V180" i="1"/>
  <c r="K180" i="1" a="1"/>
  <c r="K180" i="1" s="1"/>
  <c r="O180" i="1" s="1"/>
  <c r="P180" i="1" s="1"/>
  <c r="J181" i="1" l="1"/>
  <c r="D181" i="1" s="1" a="1"/>
  <c r="D181" i="1" s="1"/>
  <c r="C181" i="1"/>
  <c r="N185" i="1"/>
  <c r="M185" i="1"/>
  <c r="V181" i="1" l="1"/>
  <c r="L182" i="1"/>
  <c r="I182" i="1"/>
  <c r="H182" i="1"/>
  <c r="J182" i="1" s="1"/>
  <c r="D182" i="1" s="1" a="1"/>
  <c r="D182" i="1" s="1"/>
  <c r="V182" i="1" s="1"/>
  <c r="C182" i="1"/>
  <c r="K181" i="1" a="1"/>
  <c r="K181" i="1" s="1"/>
  <c r="O181" i="1" s="1"/>
  <c r="P181" i="1" s="1"/>
  <c r="H183" i="1" l="1"/>
  <c r="J183" i="1" s="1"/>
  <c r="D183" i="1" s="1" a="1"/>
  <c r="D183" i="1" s="1"/>
  <c r="K183" i="1" s="1" a="1"/>
  <c r="K183" i="1" s="1"/>
  <c r="O183" i="1" s="1"/>
  <c r="P183" i="1" s="1"/>
  <c r="I183" i="1"/>
  <c r="L183" i="1"/>
  <c r="K182" i="1" a="1"/>
  <c r="K182" i="1" s="1"/>
  <c r="O182" i="1" s="1"/>
  <c r="P182" i="1" s="1"/>
  <c r="M186" i="1"/>
  <c r="N186" i="1"/>
  <c r="M187" i="1" l="1"/>
  <c r="N187" i="1"/>
  <c r="C183" i="1"/>
  <c r="V183" i="1"/>
  <c r="H184" i="1"/>
  <c r="I184" i="1"/>
  <c r="L184" i="1"/>
  <c r="C184" i="1" l="1"/>
  <c r="M188" i="1"/>
  <c r="N188" i="1"/>
  <c r="J184" i="1"/>
  <c r="D184" i="1" s="1" a="1"/>
  <c r="D184" i="1" s="1"/>
  <c r="L185" i="1" l="1"/>
  <c r="C185" i="1" s="1"/>
  <c r="I185" i="1"/>
  <c r="H185" i="1"/>
  <c r="V184" i="1"/>
  <c r="K184" i="1" a="1"/>
  <c r="K184" i="1" s="1"/>
  <c r="O184" i="1" s="1"/>
  <c r="P184" i="1" s="1"/>
  <c r="J185" i="1" l="1"/>
  <c r="D185" i="1" s="1" a="1"/>
  <c r="D185" i="1" s="1"/>
  <c r="V185" i="1" s="1"/>
  <c r="N189" i="1"/>
  <c r="M189" i="1"/>
  <c r="H186" i="1" l="1"/>
  <c r="J186" i="1" s="1"/>
  <c r="D186" i="1" s="1" a="1"/>
  <c r="D186" i="1" s="1"/>
  <c r="L186" i="1"/>
  <c r="C186" i="1" s="1"/>
  <c r="I186" i="1"/>
  <c r="K185" i="1" a="1"/>
  <c r="K185" i="1" s="1"/>
  <c r="O185" i="1" s="1"/>
  <c r="P185" i="1" s="1"/>
  <c r="M190" i="1"/>
  <c r="N190" i="1"/>
  <c r="K186" i="1" l="1" a="1"/>
  <c r="K186" i="1" s="1"/>
  <c r="O186" i="1" s="1"/>
  <c r="P186" i="1" s="1"/>
  <c r="H187" i="1"/>
  <c r="I187" i="1"/>
  <c r="L187" i="1"/>
  <c r="V186" i="1"/>
  <c r="J187" i="1" l="1"/>
  <c r="D187" i="1" s="1" a="1"/>
  <c r="D187" i="1" s="1"/>
  <c r="K187" i="1" s="1" a="1"/>
  <c r="K187" i="1" s="1"/>
  <c r="O187" i="1" s="1"/>
  <c r="P187" i="1" s="1"/>
  <c r="C187" i="1"/>
  <c r="M191" i="1"/>
  <c r="N191" i="1"/>
  <c r="L188" i="1"/>
  <c r="I188" i="1"/>
  <c r="H188" i="1"/>
  <c r="J188" i="1" s="1"/>
  <c r="D188" i="1" s="1" a="1"/>
  <c r="D188" i="1" s="1"/>
  <c r="V188" i="1" s="1"/>
  <c r="V187" i="1" l="1"/>
  <c r="K188" i="1" a="1"/>
  <c r="K188" i="1" s="1"/>
  <c r="O188" i="1" s="1"/>
  <c r="P188" i="1" s="1"/>
  <c r="L189" i="1"/>
  <c r="H189" i="1"/>
  <c r="I189" i="1"/>
  <c r="C188" i="1"/>
  <c r="M192" i="1"/>
  <c r="N192" i="1"/>
  <c r="J189" i="1" l="1"/>
  <c r="D189" i="1" s="1" a="1"/>
  <c r="D189" i="1" s="1"/>
  <c r="C189" i="1"/>
  <c r="N193" i="1"/>
  <c r="M193" i="1"/>
  <c r="L190" i="1" l="1"/>
  <c r="H190" i="1"/>
  <c r="I190" i="1"/>
  <c r="K189" i="1" a="1"/>
  <c r="K189" i="1" s="1"/>
  <c r="O189" i="1" s="1"/>
  <c r="P189" i="1" s="1"/>
  <c r="V189" i="1"/>
  <c r="J190" i="1" l="1"/>
  <c r="D190" i="1" s="1" a="1"/>
  <c r="D190" i="1" s="1"/>
  <c r="C190" i="1"/>
  <c r="M194" i="1"/>
  <c r="N194" i="1"/>
  <c r="V190" i="1" l="1"/>
  <c r="I191" i="1"/>
  <c r="L191" i="1"/>
  <c r="H191" i="1"/>
  <c r="J191" i="1" s="1"/>
  <c r="D191" i="1" s="1" a="1"/>
  <c r="D191" i="1" s="1"/>
  <c r="V191" i="1" s="1"/>
  <c r="V7" i="1" s="1"/>
  <c r="V6" i="1" s="1"/>
  <c r="K190" i="1" a="1"/>
  <c r="K190" i="1" s="1"/>
  <c r="O190" i="1" s="1"/>
  <c r="P190" i="1" s="1"/>
  <c r="K191" i="1" l="1" a="1"/>
  <c r="K191" i="1" s="1"/>
  <c r="O191" i="1" s="1"/>
  <c r="P191" i="1" s="1"/>
  <c r="C191" i="1"/>
  <c r="M195" i="1"/>
  <c r="N195" i="1"/>
  <c r="I192" i="1"/>
  <c r="H192" i="1"/>
  <c r="J192" i="1" s="1"/>
  <c r="L192" i="1"/>
  <c r="C192" i="1" s="1"/>
  <c r="D192" i="1" l="1" a="1"/>
  <c r="D192" i="1" s="1"/>
  <c r="V192" i="1" s="1"/>
  <c r="N196" i="1"/>
  <c r="M196" i="1"/>
  <c r="H193" i="1"/>
  <c r="I193" i="1"/>
  <c r="J193" i="1" s="1"/>
  <c r="D193" i="1" s="1" a="1"/>
  <c r="D193" i="1" s="1"/>
  <c r="V193" i="1" s="1"/>
  <c r="L193" i="1"/>
  <c r="K192" i="1" l="1" a="1"/>
  <c r="K192" i="1" s="1"/>
  <c r="O192" i="1" s="1"/>
  <c r="P192" i="1" s="1"/>
  <c r="K193" i="1" a="1"/>
  <c r="K193" i="1" s="1"/>
  <c r="O193" i="1" s="1"/>
  <c r="P193" i="1" s="1"/>
  <c r="C193" i="1"/>
  <c r="N197" i="1"/>
  <c r="M197" i="1"/>
  <c r="I194" i="1"/>
  <c r="L194" i="1"/>
  <c r="H194" i="1"/>
  <c r="C194" i="1"/>
  <c r="J194" i="1" l="1"/>
  <c r="D194" i="1" s="1" a="1"/>
  <c r="D194" i="1" s="1"/>
  <c r="M198" i="1"/>
  <c r="N198" i="1"/>
  <c r="K194" i="1" l="1" a="1"/>
  <c r="K194" i="1" s="1"/>
  <c r="O194" i="1" s="1"/>
  <c r="P194" i="1" s="1"/>
  <c r="L195" i="1"/>
  <c r="H195" i="1"/>
  <c r="I195" i="1"/>
  <c r="V194" i="1"/>
  <c r="J195" i="1" l="1"/>
  <c r="D195" i="1" s="1" a="1"/>
  <c r="D195" i="1" s="1"/>
  <c r="V195" i="1" s="1"/>
  <c r="L196" i="1"/>
  <c r="C196" i="1" s="1"/>
  <c r="I196" i="1"/>
  <c r="H196" i="1"/>
  <c r="K195" i="1" a="1"/>
  <c r="K195" i="1" s="1"/>
  <c r="O195" i="1" s="1"/>
  <c r="P195" i="1" s="1"/>
  <c r="C195" i="1"/>
  <c r="M199" i="1"/>
  <c r="N199" i="1"/>
  <c r="J196" i="1" l="1"/>
  <c r="D196" i="1" s="1" a="1"/>
  <c r="D196" i="1" s="1"/>
  <c r="M200" i="1"/>
  <c r="N200" i="1"/>
  <c r="I197" i="1" l="1"/>
  <c r="L197" i="1"/>
  <c r="H197" i="1"/>
  <c r="J197" i="1" s="1"/>
  <c r="D197" i="1" s="1" a="1"/>
  <c r="D197" i="1" s="1"/>
  <c r="K197" i="1" s="1" a="1"/>
  <c r="K197" i="1" s="1"/>
  <c r="O197" i="1" s="1"/>
  <c r="P197" i="1" s="1"/>
  <c r="K196" i="1" a="1"/>
  <c r="K196" i="1" s="1"/>
  <c r="O196" i="1" s="1"/>
  <c r="P196" i="1" s="1"/>
  <c r="V196" i="1"/>
  <c r="C197" i="1" l="1"/>
  <c r="M201" i="1"/>
  <c r="N201" i="1"/>
  <c r="V197" i="1"/>
  <c r="H198" i="1"/>
  <c r="I198" i="1"/>
  <c r="L198" i="1"/>
  <c r="J198" i="1" l="1"/>
  <c r="D198" i="1" s="1" a="1"/>
  <c r="D198" i="1" s="1"/>
  <c r="H199" i="1"/>
  <c r="I199" i="1"/>
  <c r="L199" i="1"/>
  <c r="C199" i="1" s="1"/>
  <c r="N202" i="1"/>
  <c r="M202" i="1"/>
  <c r="V198" i="1"/>
  <c r="K198" i="1" a="1"/>
  <c r="K198" i="1" s="1"/>
  <c r="O198" i="1" s="1"/>
  <c r="P198" i="1" s="1"/>
  <c r="C198" i="1"/>
  <c r="M203" i="1" l="1"/>
  <c r="N203" i="1"/>
  <c r="J199" i="1"/>
  <c r="D199" i="1" s="1" a="1"/>
  <c r="D199" i="1" s="1"/>
  <c r="I200" i="1" l="1"/>
  <c r="L200" i="1"/>
  <c r="H200" i="1"/>
  <c r="J200" i="1" s="1"/>
  <c r="D200" i="1" s="1" a="1"/>
  <c r="D200" i="1" s="1"/>
  <c r="V199" i="1"/>
  <c r="K199" i="1" a="1"/>
  <c r="K199" i="1" s="1"/>
  <c r="O199" i="1" s="1"/>
  <c r="P199" i="1" s="1"/>
  <c r="C200" i="1" l="1"/>
  <c r="N204" i="1"/>
  <c r="M204" i="1"/>
  <c r="H201" i="1"/>
  <c r="L201" i="1"/>
  <c r="I201" i="1"/>
  <c r="K200" i="1" a="1"/>
  <c r="K200" i="1" s="1"/>
  <c r="O200" i="1" s="1"/>
  <c r="P200" i="1" s="1"/>
  <c r="V200" i="1"/>
  <c r="J201" i="1" l="1"/>
  <c r="D201" i="1" s="1" a="1"/>
  <c r="D201" i="1" s="1"/>
  <c r="I202" i="1"/>
  <c r="H202" i="1"/>
  <c r="J202" i="1" s="1"/>
  <c r="L202" i="1"/>
  <c r="C202" i="1"/>
  <c r="C201" i="1"/>
  <c r="M205" i="1"/>
  <c r="N205" i="1"/>
  <c r="V201" i="1"/>
  <c r="K201" i="1" a="1"/>
  <c r="K201" i="1" s="1"/>
  <c r="O201" i="1" s="1"/>
  <c r="P201" i="1" s="1"/>
  <c r="D202" i="1" l="1" a="1"/>
  <c r="D202" i="1" s="1"/>
  <c r="K202" i="1" a="1"/>
  <c r="K202" i="1" s="1"/>
  <c r="O202" i="1" s="1"/>
  <c r="P202" i="1" s="1"/>
  <c r="I203" i="1"/>
  <c r="V202" i="1"/>
  <c r="H203" i="1"/>
  <c r="J203" i="1" s="1"/>
  <c r="L203" i="1"/>
  <c r="M207" i="1" s="1"/>
  <c r="M206" i="1"/>
  <c r="N206" i="1"/>
  <c r="D203" i="1" l="1" a="1"/>
  <c r="D203" i="1" s="1"/>
  <c r="L204" i="1" s="1"/>
  <c r="C203" i="1"/>
  <c r="N207" i="1"/>
  <c r="K203" i="1" l="1" a="1"/>
  <c r="K203" i="1" s="1"/>
  <c r="O203" i="1" s="1"/>
  <c r="P203" i="1" s="1"/>
  <c r="V203" i="1"/>
  <c r="I204" i="1"/>
  <c r="H204" i="1"/>
  <c r="J204" i="1"/>
  <c r="D204" i="1" s="1" a="1"/>
  <c r="D204" i="1" s="1"/>
  <c r="M208" i="1"/>
  <c r="N208" i="1"/>
  <c r="C204" i="1"/>
  <c r="V204" i="1" l="1"/>
  <c r="I205" i="1"/>
  <c r="K204" i="1" a="1"/>
  <c r="K204" i="1" s="1"/>
  <c r="O204" i="1" s="1"/>
  <c r="P204" i="1" s="1"/>
  <c r="H205" i="1"/>
  <c r="J205" i="1" s="1"/>
  <c r="D205" i="1" s="1" a="1"/>
  <c r="D205" i="1" s="1"/>
  <c r="L205" i="1"/>
  <c r="C205" i="1" s="1"/>
  <c r="M209" i="1" l="1"/>
  <c r="N209" i="1"/>
  <c r="I206" i="1"/>
  <c r="L206" i="1"/>
  <c r="C206" i="1" s="1"/>
  <c r="H206" i="1"/>
  <c r="K205" i="1" a="1"/>
  <c r="K205" i="1" s="1"/>
  <c r="O205" i="1" s="1"/>
  <c r="P205" i="1" s="1"/>
  <c r="V205" i="1"/>
  <c r="J206" i="1" l="1"/>
  <c r="D206" i="1" s="1" a="1"/>
  <c r="D206" i="1" s="1"/>
  <c r="N210" i="1"/>
  <c r="M210" i="1"/>
  <c r="I207" i="1" l="1"/>
  <c r="L207" i="1"/>
  <c r="H207" i="1"/>
  <c r="V206" i="1"/>
  <c r="K206" i="1" a="1"/>
  <c r="K206" i="1" s="1"/>
  <c r="O206" i="1" s="1"/>
  <c r="P206" i="1" s="1"/>
  <c r="J207" i="1" l="1"/>
  <c r="D207" i="1" s="1" a="1"/>
  <c r="D207" i="1" s="1"/>
  <c r="C207" i="1"/>
  <c r="M211" i="1"/>
  <c r="N211" i="1"/>
  <c r="V207" i="1" l="1"/>
  <c r="I208" i="1"/>
  <c r="H208" i="1"/>
  <c r="L208" i="1"/>
  <c r="K207" i="1" a="1"/>
  <c r="K207" i="1" s="1"/>
  <c r="O207" i="1" s="1"/>
  <c r="P207" i="1" s="1"/>
  <c r="M212" i="1" l="1"/>
  <c r="N212" i="1"/>
  <c r="J208" i="1"/>
  <c r="D208" i="1" s="1" a="1"/>
  <c r="D208" i="1" s="1"/>
  <c r="C208" i="1"/>
  <c r="L209" i="1" l="1"/>
  <c r="I209" i="1"/>
  <c r="H209" i="1"/>
  <c r="V208" i="1"/>
  <c r="K208" i="1" a="1"/>
  <c r="K208" i="1" s="1"/>
  <c r="O208" i="1" s="1"/>
  <c r="P208" i="1" s="1"/>
  <c r="C209" i="1" l="1"/>
  <c r="M213" i="1"/>
  <c r="N213" i="1"/>
  <c r="J209" i="1"/>
  <c r="D209" i="1" s="1" a="1"/>
  <c r="D209" i="1" s="1"/>
  <c r="L210" i="1" l="1"/>
  <c r="C210" i="1" s="1"/>
  <c r="I210" i="1"/>
  <c r="H210" i="1"/>
  <c r="K209" i="1" a="1"/>
  <c r="K209" i="1" s="1"/>
  <c r="O209" i="1" s="1"/>
  <c r="P209" i="1" s="1"/>
  <c r="V209" i="1"/>
  <c r="J210" i="1" l="1"/>
  <c r="D210" i="1" s="1" a="1"/>
  <c r="D210" i="1" s="1"/>
  <c r="N214" i="1"/>
  <c r="M214" i="1"/>
  <c r="I211" i="1" l="1"/>
  <c r="H211" i="1"/>
  <c r="L211" i="1"/>
  <c r="C211" i="1" s="1"/>
  <c r="V210" i="1"/>
  <c r="K210" i="1" a="1"/>
  <c r="K210" i="1" s="1"/>
  <c r="O210" i="1" s="1"/>
  <c r="P210" i="1" s="1"/>
  <c r="J211" i="1" l="1"/>
  <c r="D211" i="1" s="1" a="1"/>
  <c r="D211" i="1" s="1"/>
  <c r="V211" i="1" s="1"/>
  <c r="M215" i="1"/>
  <c r="N215" i="1"/>
  <c r="L212" i="1" l="1"/>
  <c r="N216" i="1" s="1"/>
  <c r="H212" i="1"/>
  <c r="I212" i="1"/>
  <c r="K211" i="1" a="1"/>
  <c r="K211" i="1" s="1"/>
  <c r="O211" i="1" s="1"/>
  <c r="P211" i="1" s="1"/>
  <c r="J212" i="1" l="1"/>
  <c r="D212" i="1" s="1" a="1"/>
  <c r="D212" i="1" s="1"/>
  <c r="H213" i="1" s="1"/>
  <c r="C212" i="1"/>
  <c r="M216" i="1"/>
  <c r="K212" i="1" l="1" a="1"/>
  <c r="K212" i="1" s="1"/>
  <c r="O212" i="1" s="1"/>
  <c r="P212" i="1" s="1"/>
  <c r="V212" i="1"/>
  <c r="L213" i="1"/>
  <c r="M217" i="1" s="1"/>
  <c r="I213" i="1"/>
  <c r="J213" i="1" s="1"/>
  <c r="D213" i="1" s="1" a="1"/>
  <c r="D213" i="1" s="1"/>
  <c r="K213" i="1" s="1" a="1"/>
  <c r="K213" i="1" s="1"/>
  <c r="O213" i="1" s="1"/>
  <c r="P213" i="1" s="1"/>
  <c r="C213" i="1" l="1"/>
  <c r="N217" i="1"/>
  <c r="I214" i="1"/>
  <c r="H214" i="1"/>
  <c r="J214" i="1" s="1"/>
  <c r="L214" i="1"/>
  <c r="C214" i="1" s="1"/>
  <c r="V213" i="1"/>
  <c r="D214" i="1" l="1" a="1"/>
  <c r="D214" i="1" s="1"/>
  <c r="N218" i="1"/>
  <c r="K218" i="1" s="1" a="1"/>
  <c r="K218" i="1" s="1"/>
  <c r="O218" i="1" s="1"/>
  <c r="P218" i="1" s="1"/>
  <c r="M218" i="1"/>
  <c r="I215" i="1"/>
  <c r="L215" i="1"/>
  <c r="H215" i="1"/>
  <c r="K214" i="1" a="1"/>
  <c r="K214" i="1" s="1"/>
  <c r="O214" i="1" s="1"/>
  <c r="P214" i="1" s="1"/>
  <c r="V214" i="1"/>
  <c r="J215" i="1" l="1"/>
  <c r="D215" i="1" s="1" a="1"/>
  <c r="D215" i="1" s="1"/>
  <c r="V215" i="1" s="1"/>
  <c r="N219" i="1"/>
  <c r="M219" i="1"/>
  <c r="C215" i="1"/>
  <c r="L216" i="1" l="1"/>
  <c r="H216" i="1"/>
  <c r="I216" i="1"/>
  <c r="I8" i="1" s="1"/>
  <c r="K215" i="1" a="1"/>
  <c r="K215" i="1" s="1"/>
  <c r="O215" i="1" s="1"/>
  <c r="P215" i="1" s="1"/>
  <c r="J216" i="1"/>
  <c r="J8" i="1" s="1"/>
  <c r="M220" i="1"/>
  <c r="N220" i="1"/>
  <c r="K220" i="1" s="1" a="1"/>
  <c r="K220" i="1" s="1"/>
  <c r="O220" i="1" s="1"/>
  <c r="P220" i="1" s="1"/>
  <c r="K219" i="1" a="1"/>
  <c r="K219" i="1" s="1"/>
  <c r="O219" i="1" s="1"/>
  <c r="P219" i="1" s="1"/>
  <c r="C216" i="1"/>
  <c r="D216" i="1" l="1" a="1"/>
  <c r="D216" i="1" s="1"/>
  <c r="V216" i="1" s="1"/>
  <c r="K216" i="1" l="1" a="1"/>
  <c r="K216" i="1" s="1"/>
  <c r="O216" i="1" s="1"/>
  <c r="P216" i="1" s="1"/>
  <c r="L217" i="1"/>
  <c r="K217" i="1" s="1" a="1"/>
  <c r="K217" i="1" s="1"/>
  <c r="O217" i="1" s="1"/>
  <c r="P217" i="1" s="1"/>
  <c r="L8" i="1"/>
  <c r="T8" i="1" s="1"/>
  <c r="I1" i="1" s="1"/>
  <c r="N221" i="1"/>
  <c r="M221" i="1" l="1"/>
  <c r="M8" i="1" s="1"/>
  <c r="N1" i="1" s="1"/>
  <c r="K221" i="1" a="1"/>
  <c r="K221" i="1" s="1"/>
  <c r="O221" i="1" s="1"/>
  <c r="N8" i="1"/>
  <c r="M2" i="1" s="1"/>
  <c r="O8" i="1" l="1"/>
  <c r="P221" i="1"/>
  <c r="P2" i="1" l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<sst xmlns="http://schemas.openxmlformats.org/spreadsheetml/2006/main" count="42" uniqueCount="41">
  <si>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CURRENT UPB</t>
  </si>
  <si>
    <t>OUTPUT</t>
  </si>
  <si>
    <t>REPLINE PV</t>
  </si>
  <si>
    <t>WAC</t>
  </si>
  <si>
    <t>REPLINE PRICE</t>
  </si>
  <si>
    <t>Target CNL</t>
  </si>
  <si>
    <t>Amortization term</t>
  </si>
  <si>
    <t>POOL PV</t>
  </si>
  <si>
    <t>CDR GOAL SEEK</t>
  </si>
  <si>
    <t>months to repay</t>
  </si>
  <si>
    <t>Pool Price</t>
  </si>
  <si>
    <t xml:space="preserve"> Accrued Interest to be capitalized</t>
  </si>
  <si>
    <t>WAL</t>
  </si>
  <si>
    <t>Fixed pay</t>
  </si>
  <si>
    <t>Target Price</t>
  </si>
  <si>
    <t>Capitalize Interest</t>
  </si>
  <si>
    <t>N</t>
  </si>
  <si>
    <t>Yield Output</t>
  </si>
  <si>
    <t>Yield</t>
  </si>
  <si>
    <t>Yield input</t>
  </si>
  <si>
    <t>&lt;-------ROW 9 IS VBA MICRO FROM "Input" TAB</t>
  </si>
  <si>
    <t>Period</t>
  </si>
  <si>
    <t>Starting balance</t>
  </si>
  <si>
    <t>Ending balance</t>
  </si>
  <si>
    <t>Accrued Interest to be capped</t>
  </si>
  <si>
    <t>Cumulative accrued int</t>
  </si>
  <si>
    <t>Fixed Pay</t>
  </si>
  <si>
    <t>scheduled payment</t>
  </si>
  <si>
    <t>Interest</t>
  </si>
  <si>
    <t>Scheduled Prin</t>
  </si>
  <si>
    <t>Default</t>
  </si>
  <si>
    <t>Chargeoffs</t>
  </si>
  <si>
    <t>Recoveries</t>
  </si>
  <si>
    <t>Cashflow</t>
  </si>
  <si>
    <t>PV</t>
  </si>
  <si>
    <t>CPR</t>
  </si>
  <si>
    <t>SMM</t>
  </si>
  <si>
    <t>CDR</t>
  </si>
  <si>
    <t>MDR</t>
  </si>
  <si>
    <t>Actual  Prin</t>
  </si>
  <si>
    <t>CGL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</si>
</sst>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_(* #,##0.0000_);_(* \(#,##0.0000\);_(* &quot;-&quot;??_);_(@_)"/>
    <numFmt numFmtId="166" formatCode="_(* #,##0.000_);_(* \(#,##0.000\);_(* &quot;-&quot;??_);_(@_)"/>
    <numFmt numFmtId="167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right"/>
    </xf>
    <xf numFmtId="0" fontId="3" fillId="0" borderId="1" xfId="0" applyFont="1" applyBorder="1"/>
    <xf numFmtId="4" fontId="3" fillId="2" borderId="2" xfId="0" applyNumberFormat="1" applyFont="1" applyFill="1" applyBorder="1"/>
    <xf numFmtId="0" fontId="2" fillId="0" borderId="0" xfId="0" applyFont="1" applyAlignment="1">
      <alignment horizontal="right" indent="1"/>
    </xf>
    <xf numFmtId="9" fontId="2" fillId="0" borderId="1" xfId="0" applyNumberFormat="1" applyFont="1" applyBorder="1"/>
    <xf numFmtId="43" fontId="2" fillId="3" borderId="2" xfId="0" applyNumberFormat="1" applyFont="1" applyFill="1" applyBorder="1"/>
    <xf numFmtId="0" fontId="4" fillId="0" borderId="0" xfId="0" applyFont="1"/>
    <xf numFmtId="0" fontId="2" fillId="0" borderId="1" xfId="0" applyFont="1" applyBorder="1"/>
    <xf numFmtId="164" fontId="2" fillId="3" borderId="2" xfId="2" applyNumberFormat="1" applyFont="1" applyFill="1" applyBorder="1"/>
    <xf numFmtId="165" fontId="4" fillId="0" borderId="0" xfId="0" applyNumberFormat="1" applyFont="1"/>
    <xf numFmtId="0" fontId="2" fillId="0" borderId="0" xfId="0" applyFont="1"/>
    <xf numFmtId="0" fontId="3" fillId="0" borderId="3" xfId="0" applyFont="1" applyBorder="1"/>
    <xf numFmtId="10" fontId="3" fillId="2" borderId="4" xfId="2" applyNumberFormat="1" applyFont="1" applyFill="1" applyBorder="1"/>
    <xf numFmtId="0" fontId="2" fillId="0" borderId="0" xfId="0" applyFont="1" applyAlignment="1">
      <alignment horizontal="left" indent="1"/>
    </xf>
    <xf numFmtId="9" fontId="2" fillId="0" borderId="3" xfId="0" applyNumberFormat="1" applyFont="1" applyBorder="1"/>
    <xf numFmtId="9" fontId="2" fillId="3" borderId="4" xfId="2" applyFont="1" applyFill="1" applyBorder="1"/>
    <xf numFmtId="0" fontId="2" fillId="0" borderId="3" xfId="0" applyFont="1" applyBorder="1"/>
    <xf numFmtId="9" fontId="2" fillId="2" borderId="4" xfId="0" applyNumberFormat="1" applyFont="1" applyFill="1" applyBorder="1"/>
    <xf numFmtId="166" fontId="4" fillId="0" borderId="0" xfId="0" applyNumberFormat="1" applyFont="1"/>
    <xf numFmtId="0" fontId="3" fillId="2" borderId="4" xfId="0" applyFont="1" applyFill="1" applyBorder="1"/>
    <xf numFmtId="43" fontId="4" fillId="3" borderId="4" xfId="1" applyFont="1" applyFill="1" applyBorder="1"/>
    <xf numFmtId="9" fontId="2" fillId="3" borderId="4" xfId="0" applyNumberFormat="1" applyFont="1" applyFill="1" applyBorder="1"/>
    <xf numFmtId="10" fontId="4" fillId="3" borderId="4" xfId="2" applyNumberFormat="1" applyFont="1" applyFill="1" applyBorder="1"/>
    <xf numFmtId="0" fontId="2" fillId="0" borderId="4" xfId="0" applyFont="1" applyBorder="1"/>
    <xf numFmtId="43" fontId="3" fillId="2" borderId="4" xfId="1" applyFont="1" applyFill="1" applyBorder="1"/>
    <xf numFmtId="0" fontId="4" fillId="3" borderId="4" xfId="0" applyFont="1" applyFill="1" applyBorder="1"/>
    <xf numFmtId="9" fontId="4" fillId="3" borderId="4" xfId="0" applyNumberFormat="1" applyFont="1" applyFill="1" applyBorder="1"/>
    <xf numFmtId="0" fontId="2" fillId="2" borderId="4" xfId="0" applyFont="1" applyFill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43" fontId="2" fillId="0" borderId="0" xfId="0" applyNumberFormat="1" applyFont="1"/>
    <xf numFmtId="0" fontId="2" fillId="0" borderId="5" xfId="0" applyFont="1" applyBorder="1"/>
    <xf numFmtId="10" fontId="4" fillId="2" borderId="6" xfId="0" applyNumberFormat="1" applyFont="1" applyFill="1" applyBorder="1"/>
    <xf numFmtId="43" fontId="2" fillId="0" borderId="5" xfId="0" applyNumberFormat="1" applyFont="1" applyBorder="1"/>
    <xf numFmtId="0" fontId="4" fillId="3" borderId="6" xfId="0" applyFont="1" applyFill="1" applyBorder="1"/>
    <xf numFmtId="0" fontId="4" fillId="0" borderId="5" xfId="0" applyFont="1" applyBorder="1"/>
    <xf numFmtId="43" fontId="4" fillId="0" borderId="0" xfId="0" applyNumberFormat="1" applyFont="1"/>
    <xf numFmtId="9" fontId="3" fillId="0" borderId="0" xfId="2" applyFont="1"/>
    <xf numFmtId="10" fontId="2" fillId="0" borderId="0" xfId="0" applyNumberFormat="1" applyFont="1"/>
    <xf numFmtId="9" fontId="2" fillId="0" borderId="0" xfId="0" applyNumberFormat="1" applyFont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left"/>
    </xf>
    <xf numFmtId="4" fontId="4" fillId="0" borderId="0" xfId="0" applyNumberFormat="1" applyFont="1"/>
    <xf numFmtId="4" fontId="4" fillId="0" borderId="0" xfId="0" quotePrefix="1" applyNumberFormat="1" applyFont="1"/>
    <xf numFmtId="43" fontId="4" fillId="0" borderId="0" xfId="1" applyFont="1" applyAlignment="1">
      <alignment horizontal="center"/>
    </xf>
    <xf numFmtId="43" fontId="4" fillId="5" borderId="0" xfId="0" applyNumberFormat="1" applyFont="1" applyFill="1"/>
    <xf numFmtId="0" fontId="4" fillId="0" borderId="0" xfId="0" applyFont="1" applyAlignment="1">
      <alignment horizontal="left"/>
    </xf>
    <xf numFmtId="43" fontId="4" fillId="0" borderId="0" xfId="1" applyFont="1"/>
    <xf numFmtId="43" fontId="4" fillId="0" borderId="0" xfId="0" applyNumberFormat="1" applyFont="1" applyAlignment="1">
      <alignment horizontal="center" vertical="top"/>
    </xf>
    <xf numFmtId="43" fontId="4" fillId="0" borderId="0" xfId="1" applyFont="1" applyFill="1"/>
    <xf numFmtId="43" fontId="4" fillId="0" borderId="0" xfId="1" quotePrefix="1" applyFont="1" applyFill="1"/>
    <xf numFmtId="43" fontId="4" fillId="3" borderId="0" xfId="1" quotePrefix="1" applyFont="1" applyFill="1"/>
    <xf numFmtId="10" fontId="4" fillId="0" borderId="0" xfId="0" applyNumberFormat="1" applyFont="1"/>
    <xf numFmtId="0" fontId="4" fillId="3" borderId="0" xfId="0" applyFont="1" applyFill="1" applyAlignment="1">
      <alignment horizontal="left"/>
    </xf>
    <xf numFmtId="43" fontId="4" fillId="3" borderId="0" xfId="1" applyFont="1" applyFill="1" applyAlignment="1">
      <alignment horizontal="center"/>
    </xf>
    <xf numFmtId="43" fontId="4" fillId="3" borderId="0" xfId="0" applyNumberFormat="1" applyFont="1" applyFill="1" applyAlignment="1">
      <alignment horizontal="center" vertical="top"/>
    </xf>
    <xf numFmtId="43" fontId="4" fillId="3" borderId="0" xfId="1" applyFont="1" applyFill="1"/>
    <xf numFmtId="43" fontId="4" fillId="3" borderId="0" xfId="0" applyNumberFormat="1" applyFont="1" applyFill="1"/>
    <xf numFmtId="10" fontId="4" fillId="3" borderId="0" xfId="0" applyNumberFormat="1" applyFont="1" applyFill="1"/>
    <xf numFmtId="167" fontId="4" fillId="3" borderId="0" xfId="0" applyNumberFormat="1" applyFont="1" applyFill="1"/>
    <xf numFmtId="0" fontId="4" fillId="6" borderId="0" xfId="0" applyFont="1" applyFill="1" applyAlignment="1">
      <alignment horizontal="left"/>
    </xf>
    <xf numFmtId="43" fontId="4" fillId="6" borderId="0" xfId="1" applyFont="1" applyFill="1"/>
    <xf numFmtId="43" fontId="4" fillId="6" borderId="0" xfId="1" applyFont="1" applyFill="1" applyAlignment="1">
      <alignment horizontal="center"/>
    </xf>
    <xf numFmtId="43" fontId="4" fillId="6" borderId="0" xfId="0" applyNumberFormat="1" applyFont="1" applyFill="1" applyAlignment="1">
      <alignment horizontal="center" vertical="top"/>
    </xf>
    <xf numFmtId="43" fontId="4" fillId="6" borderId="0" xfId="1" quotePrefix="1" applyFont="1" applyFill="1"/>
    <xf numFmtId="43" fontId="4" fillId="6" borderId="0" xfId="0" applyNumberFormat="1" applyFont="1" applyFill="1"/>
    <xf numFmtId="10" fontId="4" fillId="6" borderId="0" xfId="0" applyNumberFormat="1" applyFont="1" applyFill="1"/>
    <xf numFmtId="0" fontId="4" fillId="3" borderId="0" xfId="0" applyFont="1" applyFill="1"/>
    <xf numFmtId="0" fontId="4" fillId="7" borderId="0" xfId="0" applyFont="1" applyFill="1" applyAlignment="1">
      <alignment horizontal="left"/>
    </xf>
    <xf numFmtId="43" fontId="4" fillId="7" borderId="0" xfId="1" applyFont="1" applyFill="1"/>
    <xf numFmtId="4" fontId="4" fillId="7" borderId="0" xfId="0" quotePrefix="1" applyNumberFormat="1" applyFont="1" applyFill="1"/>
    <xf numFmtId="43" fontId="4" fillId="7" borderId="0" xfId="1" applyFont="1" applyFill="1" applyAlignment="1">
      <alignment horizontal="center"/>
    </xf>
    <xf numFmtId="43" fontId="4" fillId="7" borderId="0" xfId="0" applyNumberFormat="1" applyFont="1" applyFill="1" applyAlignment="1">
      <alignment horizontal="center" vertical="top"/>
    </xf>
    <xf numFmtId="43" fontId="4" fillId="7" borderId="0" xfId="1" quotePrefix="1" applyFont="1" applyFill="1"/>
    <xf numFmtId="43" fontId="4" fillId="7" borderId="0" xfId="0" applyNumberFormat="1" applyFont="1" applyFill="1"/>
    <xf numFmtId="10" fontId="4" fillId="7" borderId="0" xfId="0" applyNumberFormat="1" applyFont="1" applyFill="1"/>
    <xf numFmtId="0" fontId="4" fillId="7" borderId="0" xfId="0" applyFont="1" applyFill="1"/>
    <xf numFmtId="43" fontId="4" fillId="0" borderId="0" xfId="1" applyFont="1" applyFill="1" applyAlignment="1">
      <alignment horizontal="center"/>
    </xf>
    <xf numFmtId="10" fontId="4" fillId="0" borderId="0" xfId="2" applyNumberFormat="1" applyFont="1"/>
    <xf numFmtId="9" fontId="4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3055-7B42-46A5-9F93-3104A4D8CC1B}">
  <sheetPr codeName="Sheet10"/>
  <dimension ref="A1:W232"/>
  <sheetViews>
    <sheetView showGridLines="0" tabSelected="1" zoomScaleNormal="100" workbookViewId="0">
      <selection activeCell="B17" sqref="B17"/>
    </sheetView>
  </sheetViews>
  <sheetFormatPr defaultColWidth="9.140625" defaultRowHeight="11.25" x14ac:dyDescent="0.2"/>
  <cols>
    <col min="1" max="1" width="12.5703125" style="7" customWidth="1"/>
    <col min="2" max="2" width="37.5703125" style="7" customWidth="1"/>
    <col min="3" max="3" width="15.7109375" style="7" customWidth="1"/>
    <col min="4" max="4" width="15.85546875" style="7" customWidth="1"/>
    <col min="5" max="5" width="13.140625" style="7" customWidth="1"/>
    <col min="6" max="6" width="15.28515625" style="7" customWidth="1"/>
    <col min="7" max="7" width="17" style="7" customWidth="1"/>
    <col min="8" max="8" width="18" style="7" customWidth="1"/>
    <col min="9" max="15" width="17" style="7" customWidth="1"/>
    <col min="16" max="16" width="15.85546875" style="7" customWidth="1"/>
    <col min="17" max="19" width="9.140625" style="7"/>
    <col min="20" max="20" width="11.140625" style="7" bestFit="1" customWidth="1"/>
    <col min="21" max="21" width="9.140625" style="7"/>
    <col min="22" max="22" width="10.5703125" style="7" bestFit="1" customWidth="1"/>
    <col min="23" max="23" width="10.42578125" style="7" bestFit="1" customWidth="1"/>
    <col min="24" max="16384" width="9.140625" style="7"/>
  </cols>
  <sheetData>
    <row r="1" spans="1:23" ht="12" x14ac:dyDescent="0.2">
      <c r="A1" s="1"/>
      <c r="B1" s="2" t="s">
        <v>0</v>
      </c>
      <c r="C1" s="3">
        <v>20000</v>
      </c>
      <c r="D1" s="4" t="s">
        <v>1</v>
      </c>
      <c r="E1" s="5" t="s">
        <v>2</v>
      </c>
      <c r="F1" s="6">
        <f>P8</f>
        <v>23104.17941154091</v>
      </c>
      <c r="H1" s="8" t="s">
        <v>40</v>
      </c>
      <c r="I1" s="9">
        <f>T8/C1</f>
        <v>0.17779999355671128</v>
      </c>
      <c r="K1" s="51">
        <f>17.78%*C1</f>
        <v>3556.0000000000005</v>
      </c>
      <c r="N1" s="10">
        <f>M8*0.9/C1</f>
        <v>-0.16001999420104013</v>
      </c>
    </row>
    <row r="2" spans="1:23" ht="12" x14ac:dyDescent="0.2">
      <c r="A2" s="11"/>
      <c r="B2" s="12" t="s">
        <v>3</v>
      </c>
      <c r="C2" s="13">
        <v>0.23119999999999999</v>
      </c>
      <c r="D2" s="14"/>
      <c r="E2" s="15" t="s">
        <v>4</v>
      </c>
      <c r="F2" s="16"/>
      <c r="H2" s="17" t="s">
        <v>5</v>
      </c>
      <c r="I2" s="18">
        <v>0.05</v>
      </c>
      <c r="M2" s="19">
        <f>(M8+N8)/C1</f>
        <v>-0.16001999420104016</v>
      </c>
      <c r="P2" s="82">
        <f>P8/C1</f>
        <v>1.1552089705770454</v>
      </c>
      <c r="R2" s="7">
        <f>7*1.5</f>
        <v>10.5</v>
      </c>
    </row>
    <row r="3" spans="1:23" ht="12" x14ac:dyDescent="0.2">
      <c r="A3" s="11"/>
      <c r="B3" s="12" t="s">
        <v>6</v>
      </c>
      <c r="C3" s="20">
        <v>60</v>
      </c>
      <c r="E3" s="17" t="s">
        <v>7</v>
      </c>
      <c r="F3" s="21"/>
      <c r="H3" s="17" t="s">
        <v>8</v>
      </c>
      <c r="I3" s="22">
        <f>T9</f>
        <v>8.0519338057870024E-2</v>
      </c>
    </row>
    <row r="4" spans="1:23" ht="12" x14ac:dyDescent="0.2">
      <c r="B4" s="12" t="s">
        <v>9</v>
      </c>
      <c r="C4" s="20">
        <v>0</v>
      </c>
      <c r="E4" s="17" t="s">
        <v>10</v>
      </c>
      <c r="F4" s="23"/>
      <c r="H4" s="17"/>
      <c r="I4" s="24"/>
    </row>
    <row r="5" spans="1:23" ht="12" x14ac:dyDescent="0.2">
      <c r="B5" s="17" t="s">
        <v>11</v>
      </c>
      <c r="C5" s="25">
        <v>0</v>
      </c>
      <c r="E5" s="17" t="s">
        <v>12</v>
      </c>
      <c r="F5" s="26"/>
      <c r="H5" s="17"/>
      <c r="I5" s="24"/>
    </row>
    <row r="6" spans="1:23" ht="12" x14ac:dyDescent="0.2">
      <c r="B6" s="17" t="s">
        <v>13</v>
      </c>
      <c r="C6" s="25">
        <v>0</v>
      </c>
      <c r="E6" s="17" t="s">
        <v>14</v>
      </c>
      <c r="F6" s="27"/>
      <c r="H6" s="17"/>
      <c r="I6" s="24"/>
      <c r="L6" s="7" t="s">
        <v>40</v>
      </c>
      <c r="P6" s="83">
        <f>P8/C1</f>
        <v>1.1552089705770454</v>
      </c>
      <c r="V6" s="37" t="e">
        <f>V7/12</f>
        <v>#DIV/0!</v>
      </c>
    </row>
    <row r="7" spans="1:23" x14ac:dyDescent="0.2">
      <c r="B7" s="17" t="s">
        <v>15</v>
      </c>
      <c r="C7" s="28" t="s">
        <v>16</v>
      </c>
      <c r="E7" s="17" t="s">
        <v>17</v>
      </c>
      <c r="F7" s="26"/>
      <c r="H7" s="29"/>
      <c r="I7" s="30"/>
      <c r="J7" s="31"/>
      <c r="V7" s="37" t="e">
        <f>SUMPRODUCT(V12:V191,B12:B191)/SUM(V12:V191)</f>
        <v>#DIV/0!</v>
      </c>
    </row>
    <row r="8" spans="1:23" ht="12" thickBot="1" x14ac:dyDescent="0.25">
      <c r="B8" s="32" t="s">
        <v>18</v>
      </c>
      <c r="C8" s="33">
        <v>7.4999999999999997E-2</v>
      </c>
      <c r="E8" s="34"/>
      <c r="F8" s="35"/>
      <c r="H8" s="36"/>
      <c r="I8" s="31">
        <f t="shared" ref="I8:Q8" si="0">_xlfn.AGGREGATE(9, 6, I11:I300)</f>
        <v>9759.5150510833882</v>
      </c>
      <c r="J8" s="31">
        <f t="shared" si="0"/>
        <v>11236.19236314401</v>
      </c>
      <c r="K8" s="31"/>
      <c r="L8" s="31">
        <f>_xlfn.AGGREGATE(9, 6, L11:L300)</f>
        <v>3555.9998711342255</v>
      </c>
      <c r="M8" s="31">
        <f t="shared" si="0"/>
        <v>-3555.9998711342255</v>
      </c>
      <c r="N8" s="31">
        <f t="shared" si="0"/>
        <v>355.59998711342229</v>
      </c>
      <c r="O8" s="31">
        <f>_xlfn.AGGREGATE(9, 6, O11:O300)</f>
        <v>26557.733978086431</v>
      </c>
      <c r="P8" s="31">
        <f>_xlfn.AGGREGATE(9, 6, P11:P300)</f>
        <v>23104.17941154091</v>
      </c>
      <c r="Q8" s="31">
        <f t="shared" si="0"/>
        <v>0</v>
      </c>
      <c r="T8" s="37">
        <f>L8</f>
        <v>3555.9998711342255</v>
      </c>
    </row>
    <row r="9" spans="1:23" ht="45" customHeight="1" x14ac:dyDescent="0.2">
      <c r="B9" s="7" t="s">
        <v>19</v>
      </c>
      <c r="N9" s="38">
        <v>0.9</v>
      </c>
      <c r="O9" s="11"/>
      <c r="P9" s="39">
        <v>7.4999999999999997E-2</v>
      </c>
      <c r="Q9" s="11"/>
      <c r="R9" s="39">
        <v>0.12</v>
      </c>
      <c r="S9" s="11"/>
      <c r="T9" s="40">
        <v>8.0519338057870024E-2</v>
      </c>
      <c r="U9" s="11"/>
      <c r="W9" s="7" t="s">
        <v>20</v>
      </c>
    </row>
    <row r="10" spans="1:23" ht="22.5" customHeight="1" x14ac:dyDescent="0.2">
      <c r="B10" s="41" t="s">
        <v>21</v>
      </c>
      <c r="C10" s="42" t="s">
        <v>22</v>
      </c>
      <c r="D10" s="42" t="s">
        <v>23</v>
      </c>
      <c r="E10" s="43" t="s">
        <v>24</v>
      </c>
      <c r="F10" s="43" t="s">
        <v>25</v>
      </c>
      <c r="G10" s="43" t="s">
        <v>26</v>
      </c>
      <c r="H10" s="42" t="s">
        <v>27</v>
      </c>
      <c r="I10" s="42" t="s">
        <v>28</v>
      </c>
      <c r="J10" s="42" t="s">
        <v>29</v>
      </c>
      <c r="K10" s="42" t="s">
        <v>39</v>
      </c>
      <c r="L10" s="42" t="s">
        <v>30</v>
      </c>
      <c r="M10" s="42" t="s">
        <v>31</v>
      </c>
      <c r="N10" s="42" t="s">
        <v>32</v>
      </c>
      <c r="O10" s="42" t="s">
        <v>33</v>
      </c>
      <c r="P10" s="42" t="s">
        <v>34</v>
      </c>
      <c r="Q10" s="42"/>
      <c r="R10" s="42" t="s">
        <v>35</v>
      </c>
      <c r="S10" s="42" t="s">
        <v>36</v>
      </c>
      <c r="T10" s="42" t="s">
        <v>37</v>
      </c>
      <c r="U10" s="42" t="s">
        <v>38</v>
      </c>
    </row>
    <row r="11" spans="1:23" s="44" customFormat="1" x14ac:dyDescent="0.2">
      <c r="B11" s="45">
        <v>0</v>
      </c>
      <c r="C11" s="46">
        <f>C1</f>
        <v>20000</v>
      </c>
      <c r="D11" s="47">
        <f>C1</f>
        <v>20000</v>
      </c>
      <c r="E11" s="37">
        <f>C5</f>
        <v>0</v>
      </c>
      <c r="F11" s="37">
        <f>C$5</f>
        <v>0</v>
      </c>
      <c r="G11" s="7"/>
      <c r="H11" s="7"/>
      <c r="I11" s="7"/>
      <c r="J11" s="7"/>
      <c r="K11" s="7"/>
      <c r="L11" s="7"/>
      <c r="M11" s="7"/>
      <c r="N11" s="7"/>
      <c r="O11" s="48">
        <f>K11+I11+G11</f>
        <v>0</v>
      </c>
      <c r="P11" s="49">
        <f t="shared" ref="P11" si="1">O11*(1/((1+P$9)^(B11/12)))</f>
        <v>0</v>
      </c>
    </row>
    <row r="12" spans="1:23" x14ac:dyDescent="0.2">
      <c r="B12" s="50">
        <f>B11+1</f>
        <v>1</v>
      </c>
      <c r="C12" s="51">
        <f>IF(B12&lt;C$4,C$1,D11)</f>
        <v>20000</v>
      </c>
      <c r="D12" s="47" cm="1">
        <f t="array" ref="D12">_xlfn.IFS(AND($C$7="Y",B12&lt;C$4),D11,AND(C$7="N",B12&lt;C$4, C$6=0),D11,AND($C$7="Y",B12=C$4),D11+F12-L12+N12-J12,AND($C$7="Y",B12&gt;C$4),(D11-J12)*(1-S12-U12), TRUE, (D11-J12)*(1-S12-U12))</f>
        <v>19471.956724285592</v>
      </c>
      <c r="E12" s="48">
        <f>IF(AND($C$7="Y",B12&lt;=$C$4),D11*C$2/12-G12,0)</f>
        <v>0</v>
      </c>
      <c r="F12" s="52">
        <f>IF(AND($C$7="Y",B12&lt;=C$4),E12+F11,0)</f>
        <v>0</v>
      </c>
      <c r="G12" s="52">
        <f>IF(AND(C$7="Y",$B12&lt;=$C$4),C$6,0)</f>
        <v>0</v>
      </c>
      <c r="H12" s="53">
        <f>IF(AND($B12&lt;=$C$4,C$7="Y"),0,IF(AND(C$7="N",C$4&gt;0,B12&lt;=C$4),0,(D11)*C$2/12/(1-(1/(1+C$2/12))^(C$3+C$4-B12+1))))</f>
        <v>565.18916950058292</v>
      </c>
      <c r="I12" s="54">
        <f t="shared" ref="I12:I44" si="2">IF(AND(C$7="Y",$B12&lt;=C$4),0,IF(AND(C$7="Y",$B12&gt;C$4),(1-U12)*C$2*D11/12,IF(AND($C$7="N",C$4&gt;0),(1-U12)*D11*C$2/12, (1-U12)*D11*C$2/12)))</f>
        <v>382.64713209626848</v>
      </c>
      <c r="J12" s="55">
        <f>IF(AND($B12&lt;=$C$4,C$7="Y"),0,IF(AND(C$7="N",C$4&gt;0,B12&lt;=C$4),0,H12-I12-D11*U12*C$2/12))</f>
        <v>179.85583616724961</v>
      </c>
      <c r="K12" s="54" cm="1">
        <f t="array" ref="K12">_xlfn.IFS(AND($C$7="Y",B12=C$4),0,AND($C$7="N",B12=C$4),0,TRUE,((D11-D12)-L12+N12))</f>
        <v>388.62106617817068</v>
      </c>
      <c r="L12" s="51">
        <f>IF(AND(C$7="Y",$B12&lt;=$C$4),0,IF(AND(C$7="N",C$4&gt;0,B12&lt;=C$4),0,U12*C11))</f>
        <v>139.4222095362374</v>
      </c>
      <c r="M12" s="51">
        <f>IFERROR(#REF!*-1,0)</f>
        <v>0</v>
      </c>
      <c r="N12" s="51">
        <f>IFERROR((1-$N$9)*#REF!,0)</f>
        <v>0</v>
      </c>
      <c r="O12" s="48">
        <f>K12+I12+G12</f>
        <v>771.2681982744391</v>
      </c>
      <c r="P12" s="37">
        <f>O12*(1/((1+P$9)^(B12/12)))</f>
        <v>766.63395807659379</v>
      </c>
      <c r="Q12" s="56"/>
      <c r="R12" s="56">
        <f>R$9</f>
        <v>0.12</v>
      </c>
      <c r="S12" s="56">
        <f>1-(1-R12)^(1/12)</f>
        <v>1.0596241035318976E-2</v>
      </c>
      <c r="T12" s="56">
        <f>T$9</f>
        <v>8.0519338057870024E-2</v>
      </c>
      <c r="U12" s="56">
        <f>1-(1-T12)^(1/12)</f>
        <v>6.9711104768118703E-3</v>
      </c>
      <c r="V12" s="37">
        <f>D11-D12</f>
        <v>528.04327571440808</v>
      </c>
    </row>
    <row r="13" spans="1:23" x14ac:dyDescent="0.2">
      <c r="A13" s="46"/>
      <c r="B13" s="57">
        <f t="shared" ref="B13:B76" si="3">B12+1</f>
        <v>2</v>
      </c>
      <c r="C13" s="53">
        <f t="shared" ref="C13:C76" si="4">IF(B13&lt;C$4,C$1,D12-L13+N13)</f>
        <v>19336.215562760899</v>
      </c>
      <c r="D13" s="47" cm="1">
        <f t="array" ref="D13">_xlfn.IFS(AND($C$7="Y",B13&lt;C$4),D12,AND(C$7="N",B13&lt;C$4, C$6=0),D12,AND($C$7="Y",B13=C$4),D12+F13-L13+N13-J13,AND($C$7="Y",B13&gt;C$4),(D12-J13)*(1-S13-U13), TRUE, (D12-J13)*(1-S13-U13))</f>
        <v>18952.94931317366</v>
      </c>
      <c r="E13" s="58">
        <f t="shared" ref="E13:E76" si="5">IF(AND($C$7="Y",B13&lt;=$C$4),D12*C$2/12-G13,0)</f>
        <v>0</v>
      </c>
      <c r="F13" s="59">
        <f>IF(AND($C$7="Y",B13&lt;=C$4),E13+F12,0)</f>
        <v>0</v>
      </c>
      <c r="G13" s="59">
        <f>IF(AND(C$7="Y",$B13&lt;=$C$4),C$6,0)</f>
        <v>0</v>
      </c>
      <c r="H13" s="53">
        <f t="shared" ref="H13:H76" si="6">IF(AND($B13&lt;=$C$4,C$7="Y"),0,IF(AND(C$7="N",C$4&gt;0,B13&lt;=C$4),0,(D12)*C$2/12/(1-(1/(1+C$2/12))^(C$3+C$4-B13+1))))</f>
        <v>555.26029268911691</v>
      </c>
      <c r="I13" s="54">
        <f t="shared" si="2"/>
        <v>372.54441984252662</v>
      </c>
      <c r="J13" s="55">
        <f t="shared" ref="J13:J42" si="7">IF(AND($B13&lt;=$C$4,C$7="Y"),0,IF(AND(C$7="N",C$4&gt;0,B13&lt;=C$4),0,H13-I13-D12*U13*C$2/12))</f>
        <v>180.10059313454784</v>
      </c>
      <c r="K13" s="54" cm="1">
        <f t="array" ref="K13">_xlfn.IFS(AND($C$7="Y",B13=C$4),0,AND($C$7="N",B13=C$4),0,TRUE,((D12-D13)-L13+N13))</f>
        <v>383.26624958723738</v>
      </c>
      <c r="L13" s="53">
        <f t="shared" ref="L13:L76" si="8">IF(AND(C$7="Y",$B13&lt;=$C$4),0,IF(AND(C$7="N",C$4&gt;0,B13&lt;=C$4),0,U13*D12))</f>
        <v>135.74116152469463</v>
      </c>
      <c r="M13" s="60">
        <f>IFERROR(L9*-1,0)</f>
        <v>0</v>
      </c>
      <c r="N13" s="60">
        <f>IFERROR((1-$N$9)*K8,0)</f>
        <v>0</v>
      </c>
      <c r="O13" s="48">
        <f>K13+I13+G13</f>
        <v>755.81066942976395</v>
      </c>
      <c r="P13" s="61">
        <f t="shared" ref="P13:P76" si="9">O13*(1/((1+P$9)^(B13/12)))</f>
        <v>746.75523239092036</v>
      </c>
      <c r="Q13" s="62"/>
      <c r="R13" s="62">
        <f t="shared" ref="R13:R76" si="10">R$9</f>
        <v>0.12</v>
      </c>
      <c r="S13" s="63">
        <f t="shared" ref="S13:S76" si="11">1-(1-R13)^(1/12)</f>
        <v>1.0596241035318976E-2</v>
      </c>
      <c r="T13" s="62">
        <f t="shared" ref="T13:T76" si="12">T$9</f>
        <v>8.0519338057870024E-2</v>
      </c>
      <c r="U13" s="63">
        <f>1-(1-T13)^(1/12)</f>
        <v>6.9711104768118703E-3</v>
      </c>
      <c r="V13" s="37">
        <f t="shared" ref="V13:V76" si="13">D12-D13</f>
        <v>519.00741111193202</v>
      </c>
    </row>
    <row r="14" spans="1:23" x14ac:dyDescent="0.2">
      <c r="B14" s="50">
        <f t="shared" si="3"/>
        <v>3</v>
      </c>
      <c r="C14" s="53">
        <f t="shared" si="4"/>
        <v>18820.826209650109</v>
      </c>
      <c r="D14" s="47" cm="1">
        <f t="array" ref="D14">_xlfn.IFS(AND($C$7="Y",B14&lt;C$4),D13,AND(C$7="N",B14&lt;C$4, C$6=0),D13,AND($C$7="Y",B14=C$4),D13+F14-L14+N14-J14,AND($C$7="Y",B14&gt;C$4),(D13-J14)*(1-S14-U14), TRUE, (D13-J14)*(1-S14-U14))</f>
        <v>18442.818703228077</v>
      </c>
      <c r="E14" s="48">
        <f t="shared" si="5"/>
        <v>0</v>
      </c>
      <c r="F14" s="52">
        <f t="shared" ref="F14:F77" si="14">IF(AND($C$7="Y",B14&lt;=C$4),E14+F13,0)</f>
        <v>0</v>
      </c>
      <c r="G14" s="52">
        <f>IF(AND(C$7="Y",$B14&lt;=$C$4),C$6,0)</f>
        <v>0</v>
      </c>
      <c r="H14" s="53">
        <f t="shared" si="6"/>
        <v>545.50583994671842</v>
      </c>
      <c r="I14" s="54">
        <f t="shared" si="2"/>
        <v>362.61458497259213</v>
      </c>
      <c r="J14" s="55">
        <f t="shared" si="7"/>
        <v>180.34568317957257</v>
      </c>
      <c r="K14" s="54" cm="1">
        <f t="array" ref="K14">_xlfn.IFS(AND($C$7="Y",B14=C$4),0,AND($C$7="N",B14=C$4),0,TRUE,((D13-D14)-L14+N14))</f>
        <v>378.007506422034</v>
      </c>
      <c r="L14" s="51">
        <f t="shared" si="8"/>
        <v>132.12310352354925</v>
      </c>
      <c r="M14" s="60">
        <f t="shared" ref="M14" si="15">IFERROR(L10*-1,0)</f>
        <v>0</v>
      </c>
      <c r="N14" s="51">
        <f>IFERROR((1-$N$9)*L10,0)</f>
        <v>0</v>
      </c>
      <c r="O14" s="48">
        <f t="shared" ref="O14:O18" si="16">K14+I14+G14</f>
        <v>740.62209139462607</v>
      </c>
      <c r="P14" s="37">
        <f t="shared" si="9"/>
        <v>727.35184708622978</v>
      </c>
      <c r="Q14" s="56"/>
      <c r="R14" s="56">
        <f t="shared" si="10"/>
        <v>0.12</v>
      </c>
      <c r="S14" s="56">
        <f t="shared" si="11"/>
        <v>1.0596241035318976E-2</v>
      </c>
      <c r="T14" s="56">
        <f t="shared" si="12"/>
        <v>8.0519338057870024E-2</v>
      </c>
      <c r="U14" s="56">
        <f t="shared" ref="U14:U77" si="17">1-(1-T14)^(1/12)</f>
        <v>6.9711104768118703E-3</v>
      </c>
      <c r="V14" s="37">
        <f t="shared" si="13"/>
        <v>510.13060994558327</v>
      </c>
    </row>
    <row r="15" spans="1:23" x14ac:dyDescent="0.2">
      <c r="B15" s="64">
        <f t="shared" si="3"/>
        <v>4</v>
      </c>
      <c r="C15" s="65">
        <f t="shared" si="4"/>
        <v>18314.251776544061</v>
      </c>
      <c r="D15" s="47" cm="1">
        <f t="array" ref="D15">_xlfn.IFS(AND($C$7="Y",B15&lt;C$4),D14,AND(C$7="N",B15&lt;C$4, C$6=0),D14,AND($C$7="Y",B15=C$4),D14+F15-L15+N15-J15,AND($C$7="Y",B15&gt;C$4),(D14-J15)*(1-S15-U15), TRUE, (D14-J15)*(1-S15-U15))</f>
        <v>17941.408624890715</v>
      </c>
      <c r="E15" s="66">
        <f t="shared" si="5"/>
        <v>0</v>
      </c>
      <c r="F15" s="67">
        <f t="shared" si="14"/>
        <v>0</v>
      </c>
      <c r="G15" s="67">
        <f t="shared" ref="G15:G78" si="18">IF($B15&lt;=$C$4,C$6,0)</f>
        <v>0</v>
      </c>
      <c r="H15" s="53">
        <f t="shared" si="6"/>
        <v>535.9227471044544</v>
      </c>
      <c r="I15" s="68">
        <f t="shared" si="2"/>
        <v>352.85458422808227</v>
      </c>
      <c r="J15" s="55">
        <f t="shared" si="7"/>
        <v>180.59110675559344</v>
      </c>
      <c r="K15" s="54" cm="1">
        <f t="array" ref="K15">_xlfn.IFS(AND($C$7="Y",B15=C$4),0,AND($C$7="N",B15=C$4),0,TRUE,((D14-D15)-L15+N15))</f>
        <v>372.84315165334635</v>
      </c>
      <c r="L15" s="65">
        <f>IF(AND(C$7="Y",$B15&lt;=$C$4),0,IF(AND(C$7="N",C$4&gt;0,B15&lt;=C$4),0,U15*D14))</f>
        <v>128.56692668401516</v>
      </c>
      <c r="M15" s="65">
        <f>IFERROR(L11*-1,0)</f>
        <v>0</v>
      </c>
      <c r="N15" s="65">
        <f>IFERROR((1-$N$9)*L11,0)</f>
        <v>0</v>
      </c>
      <c r="O15" s="48">
        <f t="shared" si="16"/>
        <v>725.69773588142857</v>
      </c>
      <c r="P15" s="69">
        <f t="shared" si="9"/>
        <v>708.412604862835</v>
      </c>
      <c r="Q15" s="70"/>
      <c r="R15" s="70">
        <f t="shared" si="10"/>
        <v>0.12</v>
      </c>
      <c r="S15" s="70">
        <f t="shared" si="11"/>
        <v>1.0596241035318976E-2</v>
      </c>
      <c r="T15" s="70">
        <f t="shared" si="12"/>
        <v>8.0519338057870024E-2</v>
      </c>
      <c r="U15" s="70">
        <f t="shared" si="17"/>
        <v>6.9711104768118703E-3</v>
      </c>
      <c r="V15" s="37">
        <f t="shared" si="13"/>
        <v>501.41007833736148</v>
      </c>
    </row>
    <row r="16" spans="1:23" x14ac:dyDescent="0.2">
      <c r="B16" s="50">
        <f t="shared" si="3"/>
        <v>5</v>
      </c>
      <c r="C16" s="53">
        <f t="shared" si="4"/>
        <v>17830.279304210602</v>
      </c>
      <c r="D16" s="47" cm="1">
        <f t="array" ref="D16">_xlfn.IFS(AND($C$7="Y",B16&lt;C$4),D15,AND(C$7="N",B16&lt;C$4, C$6=0),D15,AND($C$7="Y",B16=C$4),D15+F16-L16+N16-J16,AND($C$7="Y",B16&gt;C$4),(D15-J16)*(1-S16-U16), TRUE, (D15-J16)*(1-S16-U16))</f>
        <v>17448.565553399785</v>
      </c>
      <c r="E16" s="48">
        <f t="shared" si="5"/>
        <v>0</v>
      </c>
      <c r="F16" s="52">
        <f t="shared" si="14"/>
        <v>0</v>
      </c>
      <c r="G16" s="52">
        <f t="shared" si="18"/>
        <v>0</v>
      </c>
      <c r="H16" s="53">
        <f t="shared" si="6"/>
        <v>526.50800382272371</v>
      </c>
      <c r="I16" s="54">
        <f t="shared" si="2"/>
        <v>343.26142780408441</v>
      </c>
      <c r="J16" s="55">
        <f t="shared" si="7"/>
        <v>180.83686431649593</v>
      </c>
      <c r="K16" s="54" cm="1">
        <f t="array" ref="K16">_xlfn.IFS(AND($C$7="Y",B16=C$4),0,AND($C$7="N",B16=C$4),0,TRUE,((D15-D16)-L16+N16))</f>
        <v>381.71375081081521</v>
      </c>
      <c r="L16" s="51">
        <f t="shared" si="8"/>
        <v>125.07154163373852</v>
      </c>
      <c r="M16" s="51">
        <f>IFERROR(L12*-1,0)</f>
        <v>-139.4222095362374</v>
      </c>
      <c r="N16" s="51">
        <f>IFERROR((1-$N$9)*L12,0)</f>
        <v>13.942220953623737</v>
      </c>
      <c r="O16" s="48">
        <f t="shared" si="16"/>
        <v>724.97517861489962</v>
      </c>
      <c r="P16" s="37">
        <f t="shared" si="9"/>
        <v>703.45492983751808</v>
      </c>
      <c r="Q16" s="56"/>
      <c r="R16" s="56">
        <f t="shared" si="10"/>
        <v>0.12</v>
      </c>
      <c r="S16" s="56">
        <f t="shared" si="11"/>
        <v>1.0596241035318976E-2</v>
      </c>
      <c r="T16" s="56">
        <f t="shared" si="12"/>
        <v>8.0519338057870024E-2</v>
      </c>
      <c r="U16" s="56">
        <f t="shared" si="17"/>
        <v>6.9711104768118703E-3</v>
      </c>
      <c r="V16" s="37">
        <f t="shared" si="13"/>
        <v>492.84307149093001</v>
      </c>
    </row>
    <row r="17" spans="2:22" x14ac:dyDescent="0.2">
      <c r="B17" s="50">
        <f t="shared" si="3"/>
        <v>6</v>
      </c>
      <c r="C17" s="53">
        <f t="shared" si="4"/>
        <v>17340.503791417614</v>
      </c>
      <c r="D17" s="47" cm="1">
        <f t="array" ref="D17">_xlfn.IFS(AND($C$7="Y",B17&lt;C$4),D16,AND(C$7="N",B17&lt;C$4, C$6=0),D16,AND($C$7="Y",B17=C$4),D16+F17-L17+N17-J17,AND($C$7="Y",B17&gt;C$4),(D16-J17)*(1-S17-U17), TRUE, (D16-J17)*(1-S17-U17))</f>
        <v>16964.138660570443</v>
      </c>
      <c r="E17" s="48">
        <f t="shared" si="5"/>
        <v>0</v>
      </c>
      <c r="F17" s="52">
        <f t="shared" si="14"/>
        <v>0</v>
      </c>
      <c r="G17" s="52">
        <f t="shared" si="18"/>
        <v>0</v>
      </c>
      <c r="H17" s="53">
        <f t="shared" si="6"/>
        <v>517.25865264561946</v>
      </c>
      <c r="I17" s="54">
        <f t="shared" si="2"/>
        <v>333.83217841010838</v>
      </c>
      <c r="J17" s="55">
        <f t="shared" si="7"/>
        <v>181.08295631678359</v>
      </c>
      <c r="K17" s="54" cm="1">
        <f t="array" ref="K17">_xlfn.IFS(AND($C$7="Y",B17=C$4),0,AND($C$7="N",B17=C$4),0,TRUE,((D16-D17)-L17+N17))</f>
        <v>376.36513084716779</v>
      </c>
      <c r="L17" s="51">
        <f t="shared" si="8"/>
        <v>121.63587813464395</v>
      </c>
      <c r="M17" s="51">
        <f t="shared" ref="M17" si="19">IFERROR(L13*-1,0)</f>
        <v>-135.74116152469463</v>
      </c>
      <c r="N17" s="51">
        <f>IFERROR((1-$N$9)*L13,0)</f>
        <v>13.574116152469461</v>
      </c>
      <c r="O17" s="48">
        <f t="shared" si="16"/>
        <v>710.19730925727617</v>
      </c>
      <c r="P17" s="37">
        <f t="shared" si="9"/>
        <v>684.97510942812369</v>
      </c>
      <c r="Q17" s="56"/>
      <c r="R17" s="56">
        <f t="shared" si="10"/>
        <v>0.12</v>
      </c>
      <c r="S17" s="56">
        <f t="shared" si="11"/>
        <v>1.0596241035318976E-2</v>
      </c>
      <c r="T17" s="56">
        <f t="shared" si="12"/>
        <v>8.0519338057870024E-2</v>
      </c>
      <c r="U17" s="56">
        <f t="shared" si="17"/>
        <v>6.9711104768118703E-3</v>
      </c>
      <c r="V17" s="37">
        <f t="shared" si="13"/>
        <v>484.42689282934225</v>
      </c>
    </row>
    <row r="18" spans="2:22" x14ac:dyDescent="0.2">
      <c r="B18" s="50">
        <f t="shared" si="3"/>
        <v>7</v>
      </c>
      <c r="C18" s="53">
        <f t="shared" si="4"/>
        <v>16859.092086176006</v>
      </c>
      <c r="D18" s="47" cm="1">
        <f t="array" ref="D18">_xlfn.IFS(AND($C$7="Y",B18&lt;C$4),D17,AND(C$7="N",B18&lt;C$4, C$6=0),D17,AND($C$7="Y",B18=C$4),D17+F18-L18+N18-J18,AND($C$7="Y",B18&gt;C$4),(D17-J18)*(1-S18-U18), TRUE, (D17-J18)*(1-S18-U18))</f>
        <v>16487.97976742245</v>
      </c>
      <c r="E18" s="48">
        <f t="shared" si="5"/>
        <v>0</v>
      </c>
      <c r="F18" s="52">
        <f t="shared" si="14"/>
        <v>0</v>
      </c>
      <c r="G18" s="52">
        <f t="shared" si="18"/>
        <v>0</v>
      </c>
      <c r="H18" s="53">
        <f t="shared" si="6"/>
        <v>508.17178807190277</v>
      </c>
      <c r="I18" s="54">
        <f t="shared" si="2"/>
        <v>324.56395034753564</v>
      </c>
      <c r="J18" s="55">
        <f t="shared" si="7"/>
        <v>181.32938321157894</v>
      </c>
      <c r="K18" s="54" cm="1">
        <f t="array" ref="K18">_xlfn.IFS(AND($C$7="Y",B18=C$4),0,AND($C$7="N",B18=C$4),0,TRUE,((D17-D18)-L18+N18))</f>
        <v>371.11231875355577</v>
      </c>
      <c r="L18" s="51">
        <f t="shared" si="8"/>
        <v>118.25888474679191</v>
      </c>
      <c r="M18" s="51">
        <f>IFERROR(L14*-1,0)</f>
        <v>-132.12310352354925</v>
      </c>
      <c r="N18" s="51">
        <f t="shared" ref="N18:N21" si="20">IFERROR((1-$N$9)*L14,0)</f>
        <v>13.212310352354923</v>
      </c>
      <c r="O18" s="48">
        <f t="shared" si="16"/>
        <v>695.67626910109141</v>
      </c>
      <c r="P18" s="37">
        <f t="shared" si="9"/>
        <v>666.93818732002921</v>
      </c>
      <c r="Q18" s="56"/>
      <c r="R18" s="56">
        <f t="shared" si="10"/>
        <v>0.12</v>
      </c>
      <c r="S18" s="56">
        <f t="shared" si="11"/>
        <v>1.0596241035318976E-2</v>
      </c>
      <c r="T18" s="56">
        <f t="shared" si="12"/>
        <v>8.0519338057870024E-2</v>
      </c>
      <c r="U18" s="56">
        <f t="shared" si="17"/>
        <v>6.9711104768118703E-3</v>
      </c>
      <c r="V18" s="37">
        <f t="shared" si="13"/>
        <v>476.15889314799279</v>
      </c>
    </row>
    <row r="19" spans="2:22" x14ac:dyDescent="0.2">
      <c r="B19" s="50">
        <f t="shared" si="3"/>
        <v>8</v>
      </c>
      <c r="C19" s="53">
        <f t="shared" si="4"/>
        <v>16385.89693159271</v>
      </c>
      <c r="D19" s="47" cm="1">
        <f t="array" ref="D19">_xlfn.IFS(AND($C$7="Y",B19&lt;C$4),D18,AND(C$7="N",B19&lt;C$4, C$6=0),D18,AND($C$7="Y",B19=C$4),D18+F19-L19+N19-J19,AND($C$7="Y",B19&gt;C$4),(D18-J19)*(1-S19-U19), TRUE, (D18-J19)*(1-S19-U19))</f>
        <v>16019.943297640069</v>
      </c>
      <c r="E19" s="48">
        <f t="shared" si="5"/>
        <v>0</v>
      </c>
      <c r="F19" s="52">
        <f t="shared" si="14"/>
        <v>0</v>
      </c>
      <c r="G19" s="52">
        <f t="shared" si="18"/>
        <v>0</v>
      </c>
      <c r="H19" s="53">
        <f t="shared" si="6"/>
        <v>499.24455564229561</v>
      </c>
      <c r="I19" s="54">
        <f t="shared" si="2"/>
        <v>315.45390860327501</v>
      </c>
      <c r="J19" s="55">
        <f t="shared" si="7"/>
        <v>181.5761454566231</v>
      </c>
      <c r="K19" s="54" cm="1">
        <f t="array" ref="K19">_xlfn.IFS(AND($C$7="Y",B19=C$4),0,AND($C$7="N",B19=C$4),0,TRUE,((D18-D19)-L19+N19))</f>
        <v>365.95363395264138</v>
      </c>
      <c r="L19" s="51">
        <f t="shared" si="8"/>
        <v>114.93952849814079</v>
      </c>
      <c r="M19" s="51">
        <f t="shared" ref="M19:M20" si="21">IFERROR(L15*-1,0)</f>
        <v>-128.56692668401516</v>
      </c>
      <c r="N19" s="51">
        <f t="shared" si="20"/>
        <v>12.856692668401513</v>
      </c>
      <c r="O19" s="48">
        <f>K19+I19+G19</f>
        <v>681.40754255591639</v>
      </c>
      <c r="P19" s="37">
        <f t="shared" si="9"/>
        <v>649.33372582251184</v>
      </c>
      <c r="Q19" s="56"/>
      <c r="R19" s="56">
        <f t="shared" si="10"/>
        <v>0.12</v>
      </c>
      <c r="S19" s="56">
        <f t="shared" si="11"/>
        <v>1.0596241035318976E-2</v>
      </c>
      <c r="T19" s="56">
        <f t="shared" si="12"/>
        <v>8.0519338057870024E-2</v>
      </c>
      <c r="U19" s="56">
        <f t="shared" si="17"/>
        <v>6.9711104768118703E-3</v>
      </c>
      <c r="V19" s="37">
        <f t="shared" si="13"/>
        <v>468.03646978238066</v>
      </c>
    </row>
    <row r="20" spans="2:22" x14ac:dyDescent="0.2">
      <c r="B20" s="50">
        <f t="shared" si="3"/>
        <v>9</v>
      </c>
      <c r="C20" s="53">
        <f t="shared" si="4"/>
        <v>15920.773657243331</v>
      </c>
      <c r="D20" s="47" cm="1">
        <f t="array" ref="D20">_xlfn.IFS(AND($C$7="Y",B20&lt;C$4),D19,AND(C$7="N",B20&lt;C$4, C$6=0),D19,AND($C$7="Y",B20=C$4),D19+F20-L20+N20-J20,AND($C$7="Y",B20&gt;C$4),(D19-J20)*(1-S20-U20), TRUE, (D19-J20)*(1-S20-U20))</f>
        <v>15559.88623184953</v>
      </c>
      <c r="E20" s="48">
        <f t="shared" si="5"/>
        <v>0</v>
      </c>
      <c r="F20" s="52">
        <f t="shared" si="14"/>
        <v>0</v>
      </c>
      <c r="G20" s="52">
        <f t="shared" si="18"/>
        <v>0</v>
      </c>
      <c r="H20" s="53">
        <f t="shared" si="6"/>
        <v>490.47415104280986</v>
      </c>
      <c r="I20" s="54">
        <f t="shared" si="2"/>
        <v>306.4992679593405</v>
      </c>
      <c r="J20" s="55">
        <f t="shared" si="7"/>
        <v>181.8232435082779</v>
      </c>
      <c r="K20" s="54" cm="1">
        <f t="array" ref="K20">_xlfn.IFS(AND($C$7="Y",B20=C$4),0,AND($C$7="N",B20=C$4),0,TRUE,((D19-D20)-L20+N20))</f>
        <v>360.88742539380218</v>
      </c>
      <c r="L20" s="51">
        <f t="shared" si="8"/>
        <v>111.67679456011079</v>
      </c>
      <c r="M20" s="51">
        <f t="shared" si="21"/>
        <v>-125.07154163373852</v>
      </c>
      <c r="N20" s="51">
        <f t="shared" si="20"/>
        <v>12.507154163373849</v>
      </c>
      <c r="O20" s="48">
        <f>K20+I20+G20</f>
        <v>667.38669335314262</v>
      </c>
      <c r="P20" s="37">
        <f t="shared" si="9"/>
        <v>632.15153242033898</v>
      </c>
      <c r="Q20" s="56"/>
      <c r="R20" s="56">
        <f t="shared" si="10"/>
        <v>0.12</v>
      </c>
      <c r="S20" s="56">
        <f t="shared" si="11"/>
        <v>1.0596241035318976E-2</v>
      </c>
      <c r="T20" s="56">
        <f t="shared" si="12"/>
        <v>8.0519338057870024E-2</v>
      </c>
      <c r="U20" s="56">
        <f t="shared" si="17"/>
        <v>6.9711104768118703E-3</v>
      </c>
      <c r="V20" s="37">
        <f t="shared" si="13"/>
        <v>460.05706579053913</v>
      </c>
    </row>
    <row r="21" spans="2:22" x14ac:dyDescent="0.2">
      <c r="B21" s="50">
        <f t="shared" si="3"/>
        <v>10</v>
      </c>
      <c r="C21" s="53">
        <f t="shared" si="4"/>
        <v>15463.580133734147</v>
      </c>
      <c r="D21" s="47" cm="1">
        <f t="array" ref="D21">_xlfn.IFS(AND($C$7="Y",B21&lt;C$4),D20,AND(C$7="N",B21&lt;C$4, C$6=0),D20,AND($C$7="Y",B21=C$4),D20+F21-L21+N21-J21,AND($C$7="Y",B21&gt;C$4),(D20-J21)*(1-S21-U21), TRUE, (D20-J21)*(1-S21-U21))</f>
        <v>15107.668062699717</v>
      </c>
      <c r="E21" s="48">
        <f t="shared" si="5"/>
        <v>0</v>
      </c>
      <c r="F21" s="52">
        <f t="shared" si="14"/>
        <v>0</v>
      </c>
      <c r="G21" s="52">
        <f t="shared" si="18"/>
        <v>0</v>
      </c>
      <c r="H21" s="53">
        <f t="shared" si="6"/>
        <v>481.85781922382688</v>
      </c>
      <c r="I21" s="54">
        <f t="shared" si="2"/>
        <v>297.6972921180718</v>
      </c>
      <c r="J21" s="55">
        <f t="shared" si="7"/>
        <v>182.07067782352595</v>
      </c>
      <c r="K21" s="54" cm="1">
        <f t="array" ref="K21">_xlfn.IFS(AND($C$7="Y",B21=C$4),0,AND($C$7="N",B21=C$4),0,TRUE,((D20-D21)-L21+N21))</f>
        <v>355.91207103443088</v>
      </c>
      <c r="L21" s="51">
        <f t="shared" si="8"/>
        <v>108.46968592884704</v>
      </c>
      <c r="M21" s="51">
        <f>IFERROR(L17*-1,0)</f>
        <v>-121.63587813464395</v>
      </c>
      <c r="N21" s="51">
        <f t="shared" si="20"/>
        <v>12.163587813464392</v>
      </c>
      <c r="O21" s="48">
        <f t="shared" ref="O21:O25" si="22">K21+I21+G21</f>
        <v>653.60936315250274</v>
      </c>
      <c r="P21" s="37">
        <f t="shared" si="9"/>
        <v>615.38165401848005</v>
      </c>
      <c r="Q21" s="56"/>
      <c r="R21" s="56">
        <f t="shared" si="10"/>
        <v>0.12</v>
      </c>
      <c r="S21" s="56">
        <f t="shared" si="11"/>
        <v>1.0596241035318976E-2</v>
      </c>
      <c r="T21" s="56">
        <f t="shared" si="12"/>
        <v>8.0519338057870024E-2</v>
      </c>
      <c r="U21" s="56">
        <f t="shared" si="17"/>
        <v>6.9711104768118703E-3</v>
      </c>
      <c r="V21" s="37">
        <f t="shared" si="13"/>
        <v>452.21816914981355</v>
      </c>
    </row>
    <row r="22" spans="2:22" x14ac:dyDescent="0.2">
      <c r="B22" s="50">
        <f t="shared" si="3"/>
        <v>11</v>
      </c>
      <c r="C22" s="53">
        <f t="shared" si="4"/>
        <v>15014.176728062313</v>
      </c>
      <c r="D22" s="47" cm="1">
        <f t="array" ref="D22">_xlfn.IFS(AND($C$7="Y",B22&lt;C$4),D21,AND(C$7="N",B22&lt;C$4, C$6=0),D21,AND($C$7="Y",B22=C$4),D21+F22-L22+N22-J22,AND($C$7="Y",B22&gt;C$4),(D21-J22)*(1-S22-U22), TRUE, (D21-J22)*(1-S22-U22))</f>
        <v>14663.150750731975</v>
      </c>
      <c r="E22" s="48">
        <f t="shared" si="5"/>
        <v>0</v>
      </c>
      <c r="F22" s="52">
        <f t="shared" si="14"/>
        <v>0</v>
      </c>
      <c r="G22" s="52">
        <f t="shared" si="18"/>
        <v>0</v>
      </c>
      <c r="H22" s="53">
        <f t="shared" si="6"/>
        <v>473.39285353465317</v>
      </c>
      <c r="I22" s="54">
        <f t="shared" si="2"/>
        <v>289.04529284272172</v>
      </c>
      <c r="J22" s="55">
        <f t="shared" si="7"/>
        <v>182.31844885997199</v>
      </c>
      <c r="K22" s="54" cm="1">
        <f t="array" ref="K22">_xlfn.IFS(AND($C$7="Y",B22=C$4),0,AND($C$7="N",B22=C$4),0,TRUE,((D21-D22)-L22+N22))</f>
        <v>351.02597733033906</v>
      </c>
      <c r="L22" s="51">
        <f t="shared" si="8"/>
        <v>105.31722311208209</v>
      </c>
      <c r="M22" s="51">
        <f t="shared" ref="M22:M25" si="23">IFERROR(L18*-1,0)</f>
        <v>-118.25888474679191</v>
      </c>
      <c r="N22" s="51">
        <f>IFERROR((1-$N$9)*L18,0)</f>
        <v>11.825888474679187</v>
      </c>
      <c r="O22" s="48">
        <f t="shared" si="22"/>
        <v>640.07127017306084</v>
      </c>
      <c r="P22" s="37">
        <f t="shared" si="9"/>
        <v>599.01437132189074</v>
      </c>
      <c r="Q22" s="56"/>
      <c r="R22" s="56">
        <f t="shared" si="10"/>
        <v>0.12</v>
      </c>
      <c r="S22" s="56">
        <f t="shared" si="11"/>
        <v>1.0596241035318976E-2</v>
      </c>
      <c r="T22" s="56">
        <f t="shared" si="12"/>
        <v>8.0519338057870024E-2</v>
      </c>
      <c r="U22" s="56">
        <f t="shared" si="17"/>
        <v>6.9711104768118703E-3</v>
      </c>
      <c r="V22" s="37">
        <f t="shared" si="13"/>
        <v>444.51731196774199</v>
      </c>
    </row>
    <row r="23" spans="2:22" x14ac:dyDescent="0.2">
      <c r="B23" s="50">
        <f t="shared" si="3"/>
        <v>12</v>
      </c>
      <c r="C23" s="53">
        <f t="shared" si="4"/>
        <v>14572.42625976029</v>
      </c>
      <c r="D23" s="47" cm="1">
        <f t="array" ref="D23">_xlfn.IFS(AND($C$7="Y",B23&lt;C$4),D22,AND(C$7="N",B23&lt;C$4, C$6=0),D22,AND($C$7="Y",B23=C$4),D22+F23-L23+N23-J23,AND($C$7="Y",B23&gt;C$4),(D22-J23)*(1-S23-U23), TRUE, (D22-J23)*(1-S23-U23))</f>
        <v>14226.198681025169</v>
      </c>
      <c r="E23" s="48">
        <f t="shared" si="5"/>
        <v>0</v>
      </c>
      <c r="F23" s="52">
        <f t="shared" si="14"/>
        <v>0</v>
      </c>
      <c r="G23" s="52">
        <f t="shared" si="18"/>
        <v>0</v>
      </c>
      <c r="H23" s="53">
        <f t="shared" si="6"/>
        <v>465.0765948732793</v>
      </c>
      <c r="I23" s="54">
        <f t="shared" si="2"/>
        <v>280.54062911314185</v>
      </c>
      <c r="J23" s="55">
        <f t="shared" si="7"/>
        <v>182.56655707584324</v>
      </c>
      <c r="K23" s="54" cm="1">
        <f t="array" ref="K23">_xlfn.IFS(AND($C$7="Y",B23=C$4),0,AND($C$7="N",B23=C$4),0,TRUE,((D22-D23)-L23+N23))</f>
        <v>346.22757873512018</v>
      </c>
      <c r="L23" s="51">
        <f t="shared" si="8"/>
        <v>102.21844382149951</v>
      </c>
      <c r="M23" s="51">
        <f t="shared" si="23"/>
        <v>-114.93952849814079</v>
      </c>
      <c r="N23" s="51">
        <f t="shared" ref="N23:N30" si="24">IFERROR((1-$N$9)*L19,0)</f>
        <v>11.493952849814077</v>
      </c>
      <c r="O23" s="48">
        <f t="shared" si="22"/>
        <v>626.76820784826202</v>
      </c>
      <c r="P23" s="37">
        <f t="shared" si="9"/>
        <v>583.04019334722045</v>
      </c>
      <c r="Q23" s="56"/>
      <c r="R23" s="56">
        <f t="shared" si="10"/>
        <v>0.12</v>
      </c>
      <c r="S23" s="56">
        <f t="shared" si="11"/>
        <v>1.0596241035318976E-2</v>
      </c>
      <c r="T23" s="56">
        <f t="shared" si="12"/>
        <v>8.0519338057870024E-2</v>
      </c>
      <c r="U23" s="56">
        <f t="shared" si="17"/>
        <v>6.9711104768118703E-3</v>
      </c>
      <c r="V23" s="37">
        <f t="shared" si="13"/>
        <v>436.95206970680556</v>
      </c>
    </row>
    <row r="24" spans="2:22" x14ac:dyDescent="0.2">
      <c r="B24" s="50">
        <f t="shared" si="3"/>
        <v>13</v>
      </c>
      <c r="C24" s="53">
        <f t="shared" si="4"/>
        <v>14138.193957810679</v>
      </c>
      <c r="D24" s="47" cm="1">
        <f t="array" ref="D24">_xlfn.IFS(AND($C$7="Y",B24&lt;C$4),D23,AND(C$7="N",B24&lt;C$4, C$6=0),D23,AND($C$7="Y",B24=C$4),D23+F24-L24+N24-J24,AND($C$7="Y",B24&gt;C$4),(D23-J24)*(1-S24-U24), TRUE, (D23-J24)*(1-S24-U24))</f>
        <v>13796.678620602359</v>
      </c>
      <c r="E24" s="48">
        <f t="shared" si="5"/>
        <v>0</v>
      </c>
      <c r="F24" s="52">
        <f t="shared" si="14"/>
        <v>0</v>
      </c>
      <c r="G24" s="52">
        <f t="shared" si="18"/>
        <v>0</v>
      </c>
      <c r="H24" s="53">
        <f t="shared" si="6"/>
        <v>456.90643085107558</v>
      </c>
      <c r="I24" s="54">
        <f t="shared" si="2"/>
        <v>272.18070629629989</v>
      </c>
      <c r="J24" s="55">
        <f t="shared" si="7"/>
        <v>182.8150029299907</v>
      </c>
      <c r="K24" s="54" cm="1">
        <f t="array" ref="K24">_xlfn.IFS(AND($C$7="Y",B24=C$4),0,AND($C$7="N",B24=C$4),0,TRUE,((D23-D24)-L24+N24))</f>
        <v>341.51533720831958</v>
      </c>
      <c r="L24" s="51">
        <f t="shared" si="8"/>
        <v>99.172402670501768</v>
      </c>
      <c r="M24" s="51">
        <f t="shared" si="23"/>
        <v>-111.67679456011079</v>
      </c>
      <c r="N24" s="51">
        <f t="shared" si="24"/>
        <v>11.167679456011077</v>
      </c>
      <c r="O24" s="48">
        <f t="shared" si="22"/>
        <v>613.69604350461941</v>
      </c>
      <c r="P24" s="37">
        <f t="shared" si="9"/>
        <v>567.44985206334422</v>
      </c>
      <c r="Q24" s="56"/>
      <c r="R24" s="56">
        <f t="shared" si="10"/>
        <v>0.12</v>
      </c>
      <c r="S24" s="56">
        <f t="shared" si="11"/>
        <v>1.0596241035318976E-2</v>
      </c>
      <c r="T24" s="56">
        <f t="shared" si="12"/>
        <v>8.0519338057870024E-2</v>
      </c>
      <c r="U24" s="56">
        <f t="shared" si="17"/>
        <v>6.9711104768118703E-3</v>
      </c>
      <c r="V24" s="37">
        <f t="shared" si="13"/>
        <v>429.52006042281027</v>
      </c>
    </row>
    <row r="25" spans="2:22" x14ac:dyDescent="0.2">
      <c r="B25" s="50">
        <f t="shared" si="3"/>
        <v>14</v>
      </c>
      <c r="C25" s="53">
        <f t="shared" si="4"/>
        <v>13711.347418317957</v>
      </c>
      <c r="D25" s="47" cm="1">
        <f t="array" ref="D25">_xlfn.IFS(AND($C$7="Y",B25&lt;C$4),D24,AND(C$7="N",B25&lt;C$4, C$6=0),D24,AND($C$7="Y",B25=C$4),D24+F25-L25+N25-J25,AND($C$7="Y",B25&gt;C$4),(D24-J25)*(1-S25-U25), TRUE, (D24-J25)*(1-S25-U25))</f>
        <v>13374.459676585742</v>
      </c>
      <c r="E25" s="48">
        <f t="shared" si="5"/>
        <v>0</v>
      </c>
      <c r="F25" s="52">
        <f t="shared" si="14"/>
        <v>0</v>
      </c>
      <c r="G25" s="52">
        <f t="shared" si="18"/>
        <v>0</v>
      </c>
      <c r="H25" s="53">
        <f t="shared" si="6"/>
        <v>448.87979497216156</v>
      </c>
      <c r="I25" s="54">
        <f t="shared" si="2"/>
        <v>263.96297533136971</v>
      </c>
      <c r="J25" s="55">
        <f t="shared" si="7"/>
        <v>183.06378688188946</v>
      </c>
      <c r="K25" s="54" cm="1">
        <f t="array" ref="K25">_xlfn.IFS(AND($C$7="Y",B25=C$4),0,AND($C$7="N",B25=C$4),0,TRUE,((D24-D25)-L25+N25))</f>
        <v>336.8877417322139</v>
      </c>
      <c r="L25" s="51">
        <f t="shared" si="8"/>
        <v>96.178170877287442</v>
      </c>
      <c r="M25" s="51">
        <f t="shared" si="23"/>
        <v>-108.46968592884704</v>
      </c>
      <c r="N25" s="51">
        <f t="shared" si="24"/>
        <v>10.846968592884702</v>
      </c>
      <c r="O25" s="48">
        <f t="shared" si="22"/>
        <v>600.8507170635836</v>
      </c>
      <c r="P25" s="37">
        <f t="shared" si="9"/>
        <v>552.23429715766099</v>
      </c>
      <c r="Q25" s="56"/>
      <c r="R25" s="56">
        <f t="shared" si="10"/>
        <v>0.12</v>
      </c>
      <c r="S25" s="56">
        <f t="shared" si="11"/>
        <v>1.0596241035318976E-2</v>
      </c>
      <c r="T25" s="56">
        <f t="shared" si="12"/>
        <v>8.0519338057870024E-2</v>
      </c>
      <c r="U25" s="56">
        <f t="shared" si="17"/>
        <v>6.9711104768118703E-3</v>
      </c>
      <c r="V25" s="37">
        <f t="shared" si="13"/>
        <v>422.21894401661666</v>
      </c>
    </row>
    <row r="26" spans="2:22" x14ac:dyDescent="0.2">
      <c r="B26" s="50">
        <f t="shared" si="3"/>
        <v>15</v>
      </c>
      <c r="C26" s="53">
        <f t="shared" si="4"/>
        <v>13291.756562923807</v>
      </c>
      <c r="D26" s="47" cm="1">
        <f t="array" ref="D26">_xlfn.IFS(AND($C$7="Y",B26&lt;C$4),D25,AND(C$7="N",B26&lt;C$4, C$6=0),D25,AND($C$7="Y",B26=C$4),D25+F26-L26+N26-J26,AND($C$7="Y",B26&gt;C$4),(D25-J26)*(1-S26-U26), TRUE, (D25-J26)*(1-S26-U26))</f>
        <v>12959.413255086694</v>
      </c>
      <c r="E26" s="48">
        <f t="shared" si="5"/>
        <v>0</v>
      </c>
      <c r="F26" s="52">
        <f t="shared" si="14"/>
        <v>0</v>
      </c>
      <c r="G26" s="52">
        <f t="shared" si="18"/>
        <v>0</v>
      </c>
      <c r="H26" s="53">
        <f t="shared" si="6"/>
        <v>440.99416582719249</v>
      </c>
      <c r="I26" s="54">
        <f t="shared" si="2"/>
        <v>255.88493192913606</v>
      </c>
      <c r="J26" s="55">
        <f t="shared" si="7"/>
        <v>183.31290939164052</v>
      </c>
      <c r="K26" s="54" cm="1">
        <f t="array" ref="K26">_xlfn.IFS(AND($C$7="Y",B26=C$4),0,AND($C$7="N",B26=C$4),0,TRUE,((D25-D26)-L26+N26))</f>
        <v>332.34330783711141</v>
      </c>
      <c r="L26" s="53">
        <f t="shared" si="8"/>
        <v>93.234835973144769</v>
      </c>
      <c r="M26" s="53">
        <f>IFERROR(L22*-1,0)</f>
        <v>-105.31722311208209</v>
      </c>
      <c r="N26" s="53">
        <f t="shared" si="24"/>
        <v>10.531722311208206</v>
      </c>
      <c r="O26" s="48">
        <f>K26+I26+G26</f>
        <v>588.2282397662475</v>
      </c>
      <c r="P26" s="37">
        <f t="shared" si="9"/>
        <v>537.38469092526236</v>
      </c>
      <c r="Q26" s="56"/>
      <c r="R26" s="56">
        <f t="shared" si="10"/>
        <v>0.12</v>
      </c>
      <c r="S26" s="56">
        <f t="shared" si="11"/>
        <v>1.0596241035318976E-2</v>
      </c>
      <c r="T26" s="56">
        <f t="shared" si="12"/>
        <v>8.0519338057870024E-2</v>
      </c>
      <c r="U26" s="56">
        <f t="shared" si="17"/>
        <v>6.9711104768118703E-3</v>
      </c>
      <c r="V26" s="37">
        <f t="shared" si="13"/>
        <v>415.04642149904794</v>
      </c>
    </row>
    <row r="27" spans="2:22" x14ac:dyDescent="0.2">
      <c r="B27" s="50">
        <f t="shared" si="3"/>
        <v>16</v>
      </c>
      <c r="C27" s="53">
        <f t="shared" si="4"/>
        <v>12879.293597952974</v>
      </c>
      <c r="D27" s="47" cm="1">
        <f t="array" ref="D27">_xlfn.IFS(AND($C$7="Y",B27&lt;C$4),D26,AND(C$7="N",B27&lt;C$4, C$6=0),D26,AND($C$7="Y",B27=C$4),D26+F27-L27+N27-J27,AND($C$7="Y",B27&gt;C$4),(D26-J27)*(1-S27-U27), TRUE, (D26-J27)*(1-S27-U27))</f>
        <v>12551.413020817999</v>
      </c>
      <c r="E27" s="48">
        <f t="shared" si="5"/>
        <v>0</v>
      </c>
      <c r="F27" s="52">
        <f t="shared" si="14"/>
        <v>0</v>
      </c>
      <c r="G27" s="52">
        <f t="shared" si="18"/>
        <v>0</v>
      </c>
      <c r="H27" s="53">
        <f t="shared" si="6"/>
        <v>433.2470663013072</v>
      </c>
      <c r="I27" s="54">
        <f t="shared" si="2"/>
        <v>247.94411578546453</v>
      </c>
      <c r="J27" s="55">
        <f t="shared" si="7"/>
        <v>183.56237091997025</v>
      </c>
      <c r="K27" s="54" cm="1">
        <f t="array" ref="K27">_xlfn.IFS(AND($C$7="Y",B27=C$4),0,AND($C$7="N",B27=C$4),0,TRUE,((D26-D27)-L27+N27))</f>
        <v>327.88057713497528</v>
      </c>
      <c r="L27" s="51">
        <f t="shared" si="8"/>
        <v>90.341501515869481</v>
      </c>
      <c r="M27" s="51">
        <f t="shared" ref="M27:M40" si="25">IFERROR(L23*-1,0)</f>
        <v>-102.21844382149951</v>
      </c>
      <c r="N27" s="51">
        <f t="shared" si="24"/>
        <v>10.221844382149948</v>
      </c>
      <c r="O27" s="48">
        <f t="shared" ref="O27:O90" si="26">K27+I27+G27</f>
        <v>575.82469292043982</v>
      </c>
      <c r="P27" s="37">
        <f t="shared" si="9"/>
        <v>522.89240327804373</v>
      </c>
      <c r="Q27" s="56"/>
      <c r="R27" s="56">
        <f t="shared" si="10"/>
        <v>0.12</v>
      </c>
      <c r="S27" s="56">
        <f t="shared" si="11"/>
        <v>1.0596241035318976E-2</v>
      </c>
      <c r="T27" s="56">
        <f t="shared" si="12"/>
        <v>8.0519338057870024E-2</v>
      </c>
      <c r="U27" s="56">
        <f t="shared" si="17"/>
        <v>6.9711104768118703E-3</v>
      </c>
      <c r="V27" s="37">
        <f t="shared" si="13"/>
        <v>408.00023426869484</v>
      </c>
    </row>
    <row r="28" spans="2:22" x14ac:dyDescent="0.2">
      <c r="B28" s="50">
        <f t="shared" si="3"/>
        <v>17</v>
      </c>
      <c r="C28" s="53">
        <f t="shared" si="4"/>
        <v>12473.832974276833</v>
      </c>
      <c r="D28" s="47" cm="1">
        <f t="array" ref="D28">_xlfn.IFS(AND($C$7="Y",B28&lt;C$4),D27,AND(C$7="N",B28&lt;C$4, C$6=0),D27,AND($C$7="Y",B28=C$4),D27+F28-L28+N28-J28,AND($C$7="Y",B28&gt;C$4),(D27-J28)*(1-S28-U28), TRUE, (D27-J28)*(1-S28-U28))</f>
        <v>12150.334857415593</v>
      </c>
      <c r="E28" s="48">
        <f t="shared" si="5"/>
        <v>0</v>
      </c>
      <c r="F28" s="52">
        <f t="shared" si="14"/>
        <v>0</v>
      </c>
      <c r="G28" s="52">
        <f t="shared" si="18"/>
        <v>0</v>
      </c>
      <c r="H28" s="53">
        <f t="shared" si="6"/>
        <v>425.63606279599276</v>
      </c>
      <c r="I28" s="54">
        <f t="shared" si="2"/>
        <v>240.1381098085885</v>
      </c>
      <c r="J28" s="55">
        <f t="shared" si="7"/>
        <v>183.8121719282326</v>
      </c>
      <c r="K28" s="54" cm="1">
        <f t="array" ref="K28">_xlfn.IFS(AND($C$7="Y",B28=C$4),0,AND($C$7="N",B28=C$4),0,TRUE,((D27-D28)-L28+N28))</f>
        <v>323.49811686123894</v>
      </c>
      <c r="L28" s="51">
        <f t="shared" si="8"/>
        <v>87.497286808217282</v>
      </c>
      <c r="M28" s="51">
        <f t="shared" si="25"/>
        <v>-99.172402670501768</v>
      </c>
      <c r="N28" s="51">
        <f t="shared" si="24"/>
        <v>9.9172402670501754</v>
      </c>
      <c r="O28" s="48">
        <f t="shared" si="26"/>
        <v>563.63622666982747</v>
      </c>
      <c r="P28" s="37">
        <f t="shared" si="9"/>
        <v>508.74900687095743</v>
      </c>
      <c r="Q28" s="56"/>
      <c r="R28" s="56">
        <f t="shared" si="10"/>
        <v>0.12</v>
      </c>
      <c r="S28" s="56">
        <f t="shared" si="11"/>
        <v>1.0596241035318976E-2</v>
      </c>
      <c r="T28" s="56">
        <f t="shared" si="12"/>
        <v>8.0519338057870024E-2</v>
      </c>
      <c r="U28" s="56">
        <f t="shared" si="17"/>
        <v>6.9711104768118703E-3</v>
      </c>
      <c r="V28" s="37">
        <f t="shared" si="13"/>
        <v>401.07816340240606</v>
      </c>
    </row>
    <row r="29" spans="2:22" x14ac:dyDescent="0.2">
      <c r="B29" s="50">
        <f t="shared" si="3"/>
        <v>18</v>
      </c>
      <c r="C29" s="53">
        <f t="shared" si="4"/>
        <v>12075.25134788202</v>
      </c>
      <c r="D29" s="47" cm="1">
        <f t="array" ref="D29">_xlfn.IFS(AND($C$7="Y",B29&lt;C$4),D28,AND(C$7="N",B29&lt;C$4, C$6=0),D28,AND($C$7="Y",B29=C$4),D28+F29-L29+N29-J29,AND($C$7="Y",B29&gt;C$4),(D28-J29)*(1-S29-U29), TRUE, (D28-J29)*(1-S29-U29))</f>
        <v>11756.056828457338</v>
      </c>
      <c r="E29" s="48">
        <f t="shared" si="5"/>
        <v>0</v>
      </c>
      <c r="F29" s="52">
        <f t="shared" si="14"/>
        <v>0</v>
      </c>
      <c r="G29" s="52">
        <f t="shared" si="18"/>
        <v>0</v>
      </c>
      <c r="H29" s="53">
        <f t="shared" si="6"/>
        <v>418.15876446461624</v>
      </c>
      <c r="I29" s="54">
        <f t="shared" si="2"/>
        <v>232.46453935997002</v>
      </c>
      <c r="J29" s="55">
        <f t="shared" si="7"/>
        <v>184.06231287840913</v>
      </c>
      <c r="K29" s="54" cm="1">
        <f t="array" ref="K29">_xlfn.IFS(AND($C$7="Y",B29=C$4),0,AND($C$7="N",B29=C$4),0,TRUE,((D28-D29)-L29+N29))</f>
        <v>319.19451942468157</v>
      </c>
      <c r="L29" s="51">
        <f t="shared" si="8"/>
        <v>84.7013266213023</v>
      </c>
      <c r="M29" s="51">
        <f t="shared" si="25"/>
        <v>-96.178170877287442</v>
      </c>
      <c r="N29" s="51">
        <f t="shared" si="24"/>
        <v>9.6178170877287421</v>
      </c>
      <c r="O29" s="48">
        <f t="shared" si="26"/>
        <v>551.65905878465162</v>
      </c>
      <c r="P29" s="37">
        <f t="shared" si="9"/>
        <v>494.94627234266733</v>
      </c>
      <c r="Q29" s="56"/>
      <c r="R29" s="56">
        <f t="shared" si="10"/>
        <v>0.12</v>
      </c>
      <c r="S29" s="56">
        <f t="shared" si="11"/>
        <v>1.0596241035318976E-2</v>
      </c>
      <c r="T29" s="56">
        <f t="shared" si="12"/>
        <v>8.0519338057870024E-2</v>
      </c>
      <c r="U29" s="56">
        <f t="shared" si="17"/>
        <v>6.9711104768118703E-3</v>
      </c>
      <c r="V29" s="37">
        <f t="shared" si="13"/>
        <v>394.27802895825516</v>
      </c>
    </row>
    <row r="30" spans="2:22" x14ac:dyDescent="0.2">
      <c r="B30" s="50">
        <f t="shared" si="3"/>
        <v>19</v>
      </c>
      <c r="C30" s="53">
        <f t="shared" si="4"/>
        <v>11683.427541131798</v>
      </c>
      <c r="D30" s="47" cm="1">
        <f t="array" ref="D30">_xlfn.IFS(AND($C$7="Y",B30&lt;C$4),D29,AND(C$7="N",B30&lt;C$4, C$6=0),D29,AND($C$7="Y",B30=C$4),D29+F30-L30+N30-J30,AND($C$7="Y",B30&gt;C$4),(D29-J30)*(1-S30-U30), TRUE, (D29-J30)*(1-S30-U30))</f>
        <v>11368.459139166607</v>
      </c>
      <c r="E30" s="48">
        <f t="shared" si="5"/>
        <v>0</v>
      </c>
      <c r="F30" s="52">
        <f t="shared" si="14"/>
        <v>0</v>
      </c>
      <c r="G30" s="52">
        <f t="shared" si="18"/>
        <v>0</v>
      </c>
      <c r="H30" s="53">
        <f t="shared" si="6"/>
        <v>410.81282246138801</v>
      </c>
      <c r="I30" s="54">
        <f t="shared" si="2"/>
        <v>224.9210715084977</v>
      </c>
      <c r="J30" s="55">
        <f t="shared" si="7"/>
        <v>184.31279423310997</v>
      </c>
      <c r="K30" s="54" cm="1">
        <f t="array" ref="K30">_xlfn.IFS(AND($C$7="Y",B30=C$4),0,AND($C$7="N",B30=C$4),0,TRUE,((D29-D30)-L30+N30))</f>
        <v>314.96840196519082</v>
      </c>
      <c r="L30" s="51">
        <f t="shared" si="8"/>
        <v>81.952770922854683</v>
      </c>
      <c r="M30" s="51">
        <f t="shared" si="25"/>
        <v>-93.234835973144769</v>
      </c>
      <c r="N30" s="51">
        <f t="shared" si="24"/>
        <v>9.3234835973144747</v>
      </c>
      <c r="O30" s="48">
        <f t="shared" si="26"/>
        <v>539.88947347368855</v>
      </c>
      <c r="P30" s="37">
        <f t="shared" si="9"/>
        <v>481.47616366789521</v>
      </c>
      <c r="Q30" s="56"/>
      <c r="R30" s="56">
        <f t="shared" si="10"/>
        <v>0.12</v>
      </c>
      <c r="S30" s="56">
        <f t="shared" si="11"/>
        <v>1.0596241035318976E-2</v>
      </c>
      <c r="T30" s="56">
        <f t="shared" si="12"/>
        <v>8.0519338057870024E-2</v>
      </c>
      <c r="U30" s="56">
        <f t="shared" si="17"/>
        <v>6.9711104768118703E-3</v>
      </c>
      <c r="V30" s="37">
        <f t="shared" si="13"/>
        <v>387.59768929073107</v>
      </c>
    </row>
    <row r="31" spans="2:22" x14ac:dyDescent="0.2">
      <c r="B31" s="50">
        <f t="shared" si="3"/>
        <v>20</v>
      </c>
      <c r="C31" s="53">
        <f t="shared" si="4"/>
        <v>11298.242504707941</v>
      </c>
      <c r="D31" s="47" cm="1">
        <f t="array" ref="D31">_xlfn.IFS(AND($C$7="Y",B31&lt;C$4),D30,AND(C$7="N",B31&lt;C$4, C$6=0),D30,AND($C$7="Y",B31=C$4),D30+F31-L31+N31-J31,AND($C$7="Y",B31&gt;C$4),(D30-J31)*(1-S31-U31), TRUE, (D30-J31)*(1-S31-U31))</f>
        <v>10987.424098788622</v>
      </c>
      <c r="E31" s="48">
        <f t="shared" si="5"/>
        <v>0</v>
      </c>
      <c r="F31" s="52">
        <f t="shared" si="14"/>
        <v>0</v>
      </c>
      <c r="G31" s="52">
        <f t="shared" si="18"/>
        <v>0</v>
      </c>
      <c r="H31" s="53">
        <f t="shared" si="6"/>
        <v>403.59592920351821</v>
      </c>
      <c r="I31" s="54">
        <f t="shared" si="2"/>
        <v>217.50541429778573</v>
      </c>
      <c r="J31" s="55">
        <f t="shared" si="7"/>
        <v>184.56361645557496</v>
      </c>
      <c r="K31" s="54" cm="1">
        <f t="array" ref="K31">_xlfn.IFS(AND($C$7="Y",B31=C$4),0,AND($C$7="N",B31=C$4),0,TRUE,((D30-D31)-L31+N31))</f>
        <v>310.81840591931979</v>
      </c>
      <c r="L31" s="51">
        <f t="shared" si="8"/>
        <v>79.250784610251998</v>
      </c>
      <c r="M31" s="51">
        <f t="shared" si="25"/>
        <v>-90.341501515869481</v>
      </c>
      <c r="N31" s="51">
        <f>IFERROR((1-$N$9)*L27,0)</f>
        <v>9.034150151586946</v>
      </c>
      <c r="O31" s="48">
        <f t="shared" si="26"/>
        <v>528.32382021710555</v>
      </c>
      <c r="P31" s="37">
        <f t="shared" si="9"/>
        <v>468.33083361887446</v>
      </c>
      <c r="Q31" s="56"/>
      <c r="R31" s="56">
        <f t="shared" si="10"/>
        <v>0.12</v>
      </c>
      <c r="S31" s="56">
        <f t="shared" si="11"/>
        <v>1.0596241035318976E-2</v>
      </c>
      <c r="T31" s="56">
        <f t="shared" si="12"/>
        <v>8.0519338057870024E-2</v>
      </c>
      <c r="U31" s="56">
        <f t="shared" si="17"/>
        <v>6.9711104768118703E-3</v>
      </c>
      <c r="V31" s="37">
        <f t="shared" si="13"/>
        <v>381.03504037798484</v>
      </c>
    </row>
    <row r="32" spans="2:22" x14ac:dyDescent="0.2">
      <c r="B32" s="50">
        <f t="shared" si="3"/>
        <v>21</v>
      </c>
      <c r="C32" s="53">
        <f t="shared" si="4"/>
        <v>10919.579280221204</v>
      </c>
      <c r="D32" s="47" cm="1">
        <f t="array" ref="D32">_xlfn.IFS(AND($C$7="Y",B32&lt;C$4),D31,AND(C$7="N",B32&lt;C$4, C$6=0),D31,AND($C$7="Y",B32=C$4),D31+F32-L32+N32-J32,AND($C$7="Y",B32&gt;C$4),(D31-J32)*(1-S32-U32), TRUE, (D31-J32)*(1-S32-U32))</f>
        <v>10612.836083627739</v>
      </c>
      <c r="E32" s="48">
        <f t="shared" si="5"/>
        <v>0</v>
      </c>
      <c r="F32" s="52">
        <f t="shared" si="14"/>
        <v>0</v>
      </c>
      <c r="G32" s="52">
        <f t="shared" si="18"/>
        <v>0</v>
      </c>
      <c r="H32" s="53">
        <f t="shared" si="6"/>
        <v>396.505817646335</v>
      </c>
      <c r="I32" s="54">
        <f t="shared" si="2"/>
        <v>210.21531602634468</v>
      </c>
      <c r="J32" s="55">
        <f t="shared" si="7"/>
        <v>184.81478000967422</v>
      </c>
      <c r="K32" s="54" cm="1">
        <f t="array" ref="K32">_xlfn.IFS(AND($C$7="Y",B32=C$4),0,AND($C$7="N",B32=C$4),0,TRUE,((D31-D32)-L32+N32))</f>
        <v>306.74319659346463</v>
      </c>
      <c r="L32" s="51">
        <f t="shared" si="8"/>
        <v>76.594547248240588</v>
      </c>
      <c r="M32" s="51">
        <f t="shared" si="25"/>
        <v>-87.497286808217282</v>
      </c>
      <c r="N32" s="51">
        <f t="shared" ref="N32:N95" si="27">IFERROR((1-$N$9)*L28,0)</f>
        <v>8.7497286808217272</v>
      </c>
      <c r="O32" s="48">
        <f t="shared" si="26"/>
        <v>516.95851261980931</v>
      </c>
      <c r="P32" s="37">
        <f t="shared" si="9"/>
        <v>455.5026193333199</v>
      </c>
      <c r="Q32" s="56"/>
      <c r="R32" s="56">
        <f t="shared" si="10"/>
        <v>0.12</v>
      </c>
      <c r="S32" s="56">
        <f t="shared" si="11"/>
        <v>1.0596241035318976E-2</v>
      </c>
      <c r="T32" s="56">
        <f t="shared" si="12"/>
        <v>8.0519338057870024E-2</v>
      </c>
      <c r="U32" s="56">
        <f t="shared" si="17"/>
        <v>6.9711104768118703E-3</v>
      </c>
      <c r="V32" s="37">
        <f t="shared" si="13"/>
        <v>374.58801516088351</v>
      </c>
    </row>
    <row r="33" spans="2:23" x14ac:dyDescent="0.2">
      <c r="B33" s="50">
        <f t="shared" si="3"/>
        <v>22</v>
      </c>
      <c r="C33" s="53">
        <f t="shared" si="4"/>
        <v>10547.322963478606</v>
      </c>
      <c r="D33" s="47" cm="1">
        <f t="array" ref="D33">_xlfn.IFS(AND($C$7="Y",B33&lt;C$4),D32,AND(C$7="N",B33&lt;C$4, C$6=0),D32,AND($C$7="Y",B33=C$4),D32+F33-L33+N33-J33,AND($C$7="Y",B33&gt;C$4),(D32-J33)*(1-S33-U33), TRUE, (D32-J33)*(1-S33-U33))</f>
        <v>10244.581500734077</v>
      </c>
      <c r="E33" s="48">
        <f t="shared" si="5"/>
        <v>0</v>
      </c>
      <c r="F33" s="52">
        <f t="shared" si="14"/>
        <v>0</v>
      </c>
      <c r="G33" s="52">
        <f t="shared" si="18"/>
        <v>0</v>
      </c>
      <c r="H33" s="53">
        <f t="shared" si="6"/>
        <v>389.54026057113708</v>
      </c>
      <c r="I33" s="54">
        <f t="shared" si="2"/>
        <v>203.04856454039739</v>
      </c>
      <c r="J33" s="55">
        <f t="shared" si="7"/>
        <v>185.06628535990933</v>
      </c>
      <c r="K33" s="54" cm="1">
        <f t="array" ref="K33">_xlfn.IFS(AND($C$7="Y",B33=C$4),0,AND($C$7="N",B33=C$4),0,TRUE,((D32-D33)-L33+N33))</f>
        <v>302.74146274452767</v>
      </c>
      <c r="L33" s="51">
        <f t="shared" si="8"/>
        <v>73.983252811264393</v>
      </c>
      <c r="M33" s="51">
        <f t="shared" si="25"/>
        <v>-84.7013266213023</v>
      </c>
      <c r="N33" s="51">
        <f t="shared" si="27"/>
        <v>8.4701326621302275</v>
      </c>
      <c r="O33" s="48">
        <f t="shared" si="26"/>
        <v>505.79002728492503</v>
      </c>
      <c r="P33" s="37">
        <f t="shared" si="9"/>
        <v>442.98403798641164</v>
      </c>
      <c r="Q33" s="56"/>
      <c r="R33" s="56">
        <f t="shared" si="10"/>
        <v>0.12</v>
      </c>
      <c r="S33" s="56">
        <f t="shared" si="11"/>
        <v>1.0596241035318976E-2</v>
      </c>
      <c r="T33" s="56">
        <f t="shared" si="12"/>
        <v>8.0519338057870024E-2</v>
      </c>
      <c r="U33" s="56">
        <f t="shared" si="17"/>
        <v>6.9711104768118703E-3</v>
      </c>
      <c r="V33" s="37">
        <f t="shared" si="13"/>
        <v>368.25458289366179</v>
      </c>
      <c r="W33" s="51"/>
    </row>
    <row r="34" spans="2:23" x14ac:dyDescent="0.2">
      <c r="B34" s="50">
        <f t="shared" si="3"/>
        <v>23</v>
      </c>
      <c r="C34" s="53">
        <f t="shared" si="4"/>
        <v>10181.360668396042</v>
      </c>
      <c r="D34" s="47" cm="1">
        <f t="array" ref="D34">_xlfn.IFS(AND($C$7="Y",B34&lt;C$4),D33,AND(C$7="N",B34&lt;C$4, C$6=0),D33,AND($C$7="Y",B34=C$4),D33+F34-L34+N34-J34,AND($C$7="Y",B34&gt;C$4),(D33-J34)*(1-S34-U34), TRUE, (D33-J34)*(1-S34-U34))</f>
        <v>9882.5487522280764</v>
      </c>
      <c r="E34" s="48">
        <f t="shared" si="5"/>
        <v>0</v>
      </c>
      <c r="F34" s="52">
        <f t="shared" si="14"/>
        <v>0</v>
      </c>
      <c r="G34" s="52">
        <f t="shared" si="18"/>
        <v>0</v>
      </c>
      <c r="H34" s="53">
        <f t="shared" si="6"/>
        <v>382.69706988555691</v>
      </c>
      <c r="I34" s="54">
        <f t="shared" si="2"/>
        <v>196.00298653911906</v>
      </c>
      <c r="J34" s="55">
        <f t="shared" si="7"/>
        <v>185.31813297141369</v>
      </c>
      <c r="K34" s="54" cm="1">
        <f t="array" ref="K34">_xlfn.IFS(AND($C$7="Y",B34=C$4),0,AND($C$7="N",B34=C$4),0,TRUE,((D33-D34)-L34+N34))</f>
        <v>298.81191616796576</v>
      </c>
      <c r="L34" s="51">
        <f t="shared" si="8"/>
        <v>71.416109430320404</v>
      </c>
      <c r="M34" s="51">
        <f t="shared" si="25"/>
        <v>-81.952770922854683</v>
      </c>
      <c r="N34" s="51">
        <f t="shared" si="27"/>
        <v>8.1952770922854672</v>
      </c>
      <c r="O34" s="48">
        <f t="shared" si="26"/>
        <v>494.8149027070848</v>
      </c>
      <c r="P34" s="37">
        <f t="shared" si="9"/>
        <v>430.76778256438024</v>
      </c>
      <c r="Q34" s="56"/>
      <c r="R34" s="56">
        <f t="shared" si="10"/>
        <v>0.12</v>
      </c>
      <c r="S34" s="56">
        <f t="shared" si="11"/>
        <v>1.0596241035318976E-2</v>
      </c>
      <c r="T34" s="56">
        <f t="shared" si="12"/>
        <v>8.0519338057870024E-2</v>
      </c>
      <c r="U34" s="56">
        <f t="shared" si="17"/>
        <v>6.9711104768118703E-3</v>
      </c>
      <c r="V34" s="37">
        <f t="shared" si="13"/>
        <v>362.03274850600064</v>
      </c>
    </row>
    <row r="35" spans="2:23" x14ac:dyDescent="0.2">
      <c r="B35" s="50">
        <f t="shared" si="3"/>
        <v>24</v>
      </c>
      <c r="C35" s="53">
        <f t="shared" si="4"/>
        <v>9821.5814915448409</v>
      </c>
      <c r="D35" s="47" cm="1">
        <f t="array" ref="D35">_xlfn.IFS(AND($C$7="Y",B35&lt;C$4),D34,AND(C$7="N",B35&lt;C$4, C$6=0),D34,AND($C$7="Y",B35=C$4),D34+F35-L35+N35-J35,AND($C$7="Y",B35&gt;C$4),(D34-J35)*(1-S35-U35), TRUE, (D34-J35)*(1-S35-U35))</f>
        <v>9526.6282002517673</v>
      </c>
      <c r="E35" s="48">
        <f t="shared" si="5"/>
        <v>0</v>
      </c>
      <c r="F35" s="52">
        <f t="shared" si="14"/>
        <v>0</v>
      </c>
      <c r="G35" s="52">
        <f t="shared" si="18"/>
        <v>0</v>
      </c>
      <c r="H35" s="53">
        <f t="shared" si="6"/>
        <v>375.97409593621484</v>
      </c>
      <c r="I35" s="54">
        <f t="shared" si="2"/>
        <v>189.07644689208152</v>
      </c>
      <c r="J35" s="55">
        <f t="shared" si="7"/>
        <v>185.57032330995389</v>
      </c>
      <c r="K35" s="54" cm="1">
        <f t="array" ref="K35">_xlfn.IFS(AND($C$7="Y",B35=C$4),0,AND($C$7="N",B35=C$4),0,TRUE,((D34-D35)-L35+N35))</f>
        <v>294.95329129307305</v>
      </c>
      <c r="L35" s="51">
        <f t="shared" si="8"/>
        <v>68.892339144261214</v>
      </c>
      <c r="M35" s="51">
        <f t="shared" si="25"/>
        <v>-79.250784610251998</v>
      </c>
      <c r="N35" s="51">
        <f t="shared" si="27"/>
        <v>7.9250784610251976</v>
      </c>
      <c r="O35" s="48">
        <f t="shared" si="26"/>
        <v>484.02973818515454</v>
      </c>
      <c r="P35" s="37">
        <f t="shared" si="9"/>
        <v>418.846717737289</v>
      </c>
      <c r="Q35" s="56"/>
      <c r="R35" s="56">
        <f t="shared" si="10"/>
        <v>0.12</v>
      </c>
      <c r="S35" s="56">
        <f t="shared" si="11"/>
        <v>1.0596241035318976E-2</v>
      </c>
      <c r="T35" s="56">
        <f t="shared" si="12"/>
        <v>8.0519338057870024E-2</v>
      </c>
      <c r="U35" s="56">
        <f t="shared" si="17"/>
        <v>6.9711104768118703E-3</v>
      </c>
      <c r="V35" s="37">
        <f t="shared" si="13"/>
        <v>355.92055197630907</v>
      </c>
    </row>
    <row r="36" spans="2:23" s="71" customFormat="1" x14ac:dyDescent="0.2">
      <c r="B36" s="57">
        <f t="shared" si="3"/>
        <v>25</v>
      </c>
      <c r="C36" s="53">
        <f t="shared" si="4"/>
        <v>9467.8764773211242</v>
      </c>
      <c r="D36" s="47" cm="1">
        <f t="array" ref="D36">_xlfn.IFS(AND($C$7="Y",B36&lt;C$4),D35,AND(C$7="N",B36&lt;C$4, C$6=0),D35,AND($C$7="Y",B36=C$4),D35+F36-L36+N36-J36,AND($C$7="Y",B36&gt;C$4),(D35-J36)*(1-S36-U36), TRUE, (D35-J36)*(1-S36-U36))</f>
        <v>9176.7121325357657</v>
      </c>
      <c r="E36" s="48">
        <f t="shared" si="5"/>
        <v>0</v>
      </c>
      <c r="F36" s="52">
        <f t="shared" si="14"/>
        <v>0</v>
      </c>
      <c r="G36" s="59">
        <f t="shared" si="18"/>
        <v>0</v>
      </c>
      <c r="H36" s="53">
        <f t="shared" si="6"/>
        <v>369.36922683344778</v>
      </c>
      <c r="I36" s="54">
        <f t="shared" si="2"/>
        <v>182.26684796868869</v>
      </c>
      <c r="J36" s="55">
        <f t="shared" si="7"/>
        <v>185.82285684193045</v>
      </c>
      <c r="K36" s="54" cm="1">
        <f t="array" ref="K36">_xlfn.IFS(AND($C$7="Y",B36=C$4),0,AND($C$7="N",B36=C$4),0,TRUE,((D35-D36)-L36+N36))</f>
        <v>291.16434478535916</v>
      </c>
      <c r="L36" s="60">
        <f t="shared" si="8"/>
        <v>66.411177655466503</v>
      </c>
      <c r="M36" s="60">
        <f t="shared" si="25"/>
        <v>-76.594547248240588</v>
      </c>
      <c r="N36" s="60">
        <f t="shared" si="27"/>
        <v>7.659454724824057</v>
      </c>
      <c r="O36" s="48">
        <f t="shared" si="26"/>
        <v>473.43119275404786</v>
      </c>
      <c r="P36" s="61">
        <f t="shared" si="9"/>
        <v>407.21387582867482</v>
      </c>
      <c r="Q36" s="56"/>
      <c r="R36" s="56">
        <f t="shared" si="10"/>
        <v>0.12</v>
      </c>
      <c r="S36" s="56">
        <f t="shared" si="11"/>
        <v>1.0596241035318976E-2</v>
      </c>
      <c r="T36" s="56">
        <f t="shared" si="12"/>
        <v>8.0519338057870024E-2</v>
      </c>
      <c r="U36" s="56">
        <f t="shared" si="17"/>
        <v>6.9711104768118703E-3</v>
      </c>
      <c r="V36" s="37">
        <f t="shared" si="13"/>
        <v>349.91606771600163</v>
      </c>
    </row>
    <row r="37" spans="2:23" x14ac:dyDescent="0.2">
      <c r="B37" s="50">
        <f t="shared" si="3"/>
        <v>26</v>
      </c>
      <c r="C37" s="53">
        <f t="shared" si="4"/>
        <v>9120.1385837270864</v>
      </c>
      <c r="D37" s="47" cm="1">
        <f t="array" ref="D37">_xlfn.IFS(AND($C$7="Y",B37&lt;C$4),D36,AND(C$7="N",B37&lt;C$4, C$6=0),D36,AND($C$7="Y",B37=C$4),D36+F37-L37+N37-J37,AND($C$7="Y",B37&gt;C$4),(D36-J37)*(1-S37-U37), TRUE, (D36-J37)*(1-S37-U37))</f>
        <v>8832.694728571154</v>
      </c>
      <c r="E37" s="48">
        <f t="shared" si="5"/>
        <v>0</v>
      </c>
      <c r="F37" s="52">
        <f t="shared" si="14"/>
        <v>0</v>
      </c>
      <c r="G37" s="52">
        <f t="shared" si="18"/>
        <v>0</v>
      </c>
      <c r="H37" s="53">
        <f t="shared" si="6"/>
        <v>362.8803877879007</v>
      </c>
      <c r="I37" s="54">
        <f t="shared" si="2"/>
        <v>175.57212897939215</v>
      </c>
      <c r="J37" s="55">
        <f t="shared" si="7"/>
        <v>186.07573403437829</v>
      </c>
      <c r="K37" s="54" cm="1">
        <f t="array" ref="K37">_xlfn.IFS(AND($C$7="Y",B37=C$4),0,AND($C$7="N",B37=C$4),0,TRUE,((D36-D37)-L37+N37))</f>
        <v>287.44385515593154</v>
      </c>
      <c r="L37" s="51">
        <f t="shared" si="8"/>
        <v>63.971874089806676</v>
      </c>
      <c r="M37" s="51">
        <f t="shared" si="25"/>
        <v>-73.983252811264393</v>
      </c>
      <c r="N37" s="51">
        <f t="shared" si="27"/>
        <v>7.3983252811264375</v>
      </c>
      <c r="O37" s="48">
        <f t="shared" si="26"/>
        <v>463.01598413532372</v>
      </c>
      <c r="P37" s="37">
        <f t="shared" si="9"/>
        <v>395.86245287980472</v>
      </c>
      <c r="Q37" s="56"/>
      <c r="R37" s="56">
        <f t="shared" si="10"/>
        <v>0.12</v>
      </c>
      <c r="S37" s="56">
        <f t="shared" si="11"/>
        <v>1.0596241035318976E-2</v>
      </c>
      <c r="T37" s="56">
        <f t="shared" si="12"/>
        <v>8.0519338057870024E-2</v>
      </c>
      <c r="U37" s="56">
        <f t="shared" si="17"/>
        <v>6.9711104768118703E-3</v>
      </c>
      <c r="V37" s="37">
        <f t="shared" si="13"/>
        <v>344.01740396461173</v>
      </c>
    </row>
    <row r="38" spans="2:23" x14ac:dyDescent="0.2">
      <c r="B38" s="50">
        <f t="shared" si="3"/>
        <v>27</v>
      </c>
      <c r="C38" s="53">
        <f t="shared" si="4"/>
        <v>8778.2626487533635</v>
      </c>
      <c r="D38" s="47" cm="1">
        <f t="array" ref="D38">_xlfn.IFS(AND($C$7="Y",B38&lt;C$4),D37,AND(C$7="N",B38&lt;C$4, C$6=0),D37,AND($C$7="Y",B38=C$4),D37+F38-L38+N38-J38,AND($C$7="Y",B38&gt;C$4),(D37-J38)*(1-S38-U38), TRUE, (D37-J38)*(1-S38-U38))</f>
        <v>8494.4720263756408</v>
      </c>
      <c r="E38" s="48">
        <f t="shared" si="5"/>
        <v>0</v>
      </c>
      <c r="F38" s="52">
        <f t="shared" si="14"/>
        <v>0</v>
      </c>
      <c r="G38" s="52">
        <f t="shared" si="18"/>
        <v>0</v>
      </c>
      <c r="H38" s="53">
        <f t="shared" si="6"/>
        <v>356.50554045877226</v>
      </c>
      <c r="I38" s="54">
        <f t="shared" si="2"/>
        <v>168.99026532847904</v>
      </c>
      <c r="J38" s="55">
        <f t="shared" si="7"/>
        <v>186.32895535496803</v>
      </c>
      <c r="K38" s="54" cm="1">
        <f t="array" ref="K38">_xlfn.IFS(AND($C$7="Y",B38=C$4),0,AND($C$7="N",B38=C$4),0,TRUE,((D37-D38)-L38+N38))</f>
        <v>283.79062237772189</v>
      </c>
      <c r="L38" s="51">
        <f t="shared" si="8"/>
        <v>61.573690760823354</v>
      </c>
      <c r="M38" s="51">
        <f t="shared" si="25"/>
        <v>-71.416109430320404</v>
      </c>
      <c r="N38" s="51">
        <f t="shared" si="27"/>
        <v>7.1416109430320391</v>
      </c>
      <c r="O38" s="48">
        <f t="shared" si="26"/>
        <v>452.78088770620093</v>
      </c>
      <c r="P38" s="37">
        <f t="shared" si="9"/>
        <v>384.78580480629262</v>
      </c>
      <c r="Q38" s="56"/>
      <c r="R38" s="56">
        <f t="shared" si="10"/>
        <v>0.12</v>
      </c>
      <c r="S38" s="56">
        <f t="shared" si="11"/>
        <v>1.0596241035318976E-2</v>
      </c>
      <c r="T38" s="56">
        <f t="shared" si="12"/>
        <v>8.0519338057870024E-2</v>
      </c>
      <c r="U38" s="56">
        <f t="shared" si="17"/>
        <v>6.9711104768118703E-3</v>
      </c>
      <c r="V38" s="37">
        <f t="shared" si="13"/>
        <v>338.22270219551319</v>
      </c>
    </row>
    <row r="39" spans="2:23" x14ac:dyDescent="0.2">
      <c r="B39" s="50">
        <f t="shared" si="3"/>
        <v>28</v>
      </c>
      <c r="C39" s="53">
        <f t="shared" si="4"/>
        <v>8442.1453573520139</v>
      </c>
      <c r="D39" s="47" cm="1">
        <f t="array" ref="D39">_xlfn.IFS(AND($C$7="Y",B39&lt;C$4),D38,AND(C$7="N",B39&lt;C$4, C$6=0),D38,AND($C$7="Y",B39=C$4),D38+F39-L39+N39-J39,AND($C$7="Y",B39&gt;C$4),(D38-J39)*(1-S39-U39), TRUE, (D38-J39)*(1-S39-U39))</f>
        <v>8161.941889843536</v>
      </c>
      <c r="E39" s="48">
        <f t="shared" si="5"/>
        <v>0</v>
      </c>
      <c r="F39" s="52">
        <f t="shared" si="14"/>
        <v>0</v>
      </c>
      <c r="G39" s="52">
        <f t="shared" si="18"/>
        <v>0</v>
      </c>
      <c r="H39" s="53">
        <f t="shared" si="6"/>
        <v>350.2426823135109</v>
      </c>
      <c r="I39" s="54">
        <f t="shared" si="2"/>
        <v>162.51926797823086</v>
      </c>
      <c r="J39" s="55">
        <f t="shared" si="7"/>
        <v>186.58252127200689</v>
      </c>
      <c r="K39" s="54" cm="1">
        <f t="array" ref="K39">_xlfn.IFS(AND($C$7="Y",B39=C$4),0,AND($C$7="N",B39=C$4),0,TRUE,((D38-D39)-L39+N39))</f>
        <v>280.2034675084783</v>
      </c>
      <c r="L39" s="51">
        <f t="shared" si="8"/>
        <v>59.215902938052587</v>
      </c>
      <c r="M39" s="51">
        <f t="shared" si="25"/>
        <v>-68.892339144261214</v>
      </c>
      <c r="N39" s="51">
        <f t="shared" si="27"/>
        <v>6.8892339144261197</v>
      </c>
      <c r="O39" s="48">
        <f t="shared" si="26"/>
        <v>442.72273548670915</v>
      </c>
      <c r="P39" s="37">
        <f t="shared" si="9"/>
        <v>373.97744364494798</v>
      </c>
      <c r="Q39" s="56"/>
      <c r="R39" s="56">
        <f t="shared" si="10"/>
        <v>0.12</v>
      </c>
      <c r="S39" s="56">
        <f t="shared" si="11"/>
        <v>1.0596241035318976E-2</v>
      </c>
      <c r="T39" s="56">
        <f t="shared" si="12"/>
        <v>8.0519338057870024E-2</v>
      </c>
      <c r="U39" s="56">
        <f t="shared" si="17"/>
        <v>6.9711104768118703E-3</v>
      </c>
      <c r="V39" s="37">
        <f t="shared" si="13"/>
        <v>332.53013653210473</v>
      </c>
    </row>
    <row r="40" spans="2:23" x14ac:dyDescent="0.2">
      <c r="B40" s="50">
        <f t="shared" si="3"/>
        <v>29</v>
      </c>
      <c r="C40" s="53">
        <f t="shared" si="4"/>
        <v>8111.6852089896647</v>
      </c>
      <c r="D40" s="47" cm="1">
        <f t="array" ref="D40">_xlfn.IFS(AND($C$7="Y",B40&lt;C$4),D39,AND(C$7="N",B40&lt;C$4, C$6=0),D39,AND($C$7="Y",B40=C$4),D39+F40-L40+N40-J40,AND($C$7="Y",B40&gt;C$4),(D39-J40)*(1-S40-U40), TRUE, (D39-J40)*(1-S40-U40))</f>
        <v>7835.0039766693162</v>
      </c>
      <c r="E40" s="48">
        <f t="shared" si="5"/>
        <v>0</v>
      </c>
      <c r="F40" s="52">
        <f t="shared" si="14"/>
        <v>0</v>
      </c>
      <c r="G40" s="52">
        <f t="shared" si="18"/>
        <v>0</v>
      </c>
      <c r="H40" s="53">
        <f t="shared" si="6"/>
        <v>344.08984599875799</v>
      </c>
      <c r="I40" s="54">
        <f t="shared" si="2"/>
        <v>156.15718282425135</v>
      </c>
      <c r="J40" s="55">
        <f t="shared" si="7"/>
        <v>186.83643225443919</v>
      </c>
      <c r="K40" s="54" cm="1">
        <f t="array" ref="K40">_xlfn.IFS(AND($C$7="Y",B40=C$4),0,AND($C$7="N",B40=C$4),0,TRUE,((D39-D40)-L40+N40))</f>
        <v>276.68123232034856</v>
      </c>
      <c r="L40" s="51">
        <f t="shared" si="8"/>
        <v>56.897798619417948</v>
      </c>
      <c r="M40" s="51">
        <f t="shared" si="25"/>
        <v>-66.411177655466503</v>
      </c>
      <c r="N40" s="51">
        <f t="shared" si="27"/>
        <v>6.6411177655466487</v>
      </c>
      <c r="O40" s="48">
        <f t="shared" si="26"/>
        <v>432.83841514459994</v>
      </c>
      <c r="P40" s="37">
        <f t="shared" si="9"/>
        <v>363.43103388868798</v>
      </c>
      <c r="Q40" s="56"/>
      <c r="R40" s="56">
        <f t="shared" si="10"/>
        <v>0.12</v>
      </c>
      <c r="S40" s="56">
        <f t="shared" si="11"/>
        <v>1.0596241035318976E-2</v>
      </c>
      <c r="T40" s="56">
        <f t="shared" si="12"/>
        <v>8.0519338057870024E-2</v>
      </c>
      <c r="U40" s="56">
        <f t="shared" si="17"/>
        <v>6.9711104768118703E-3</v>
      </c>
      <c r="V40" s="37">
        <f t="shared" si="13"/>
        <v>326.93791317421983</v>
      </c>
    </row>
    <row r="41" spans="2:23" x14ac:dyDescent="0.2">
      <c r="B41" s="57">
        <f t="shared" si="3"/>
        <v>30</v>
      </c>
      <c r="C41" s="53">
        <f t="shared" si="4"/>
        <v>7786.7824857706746</v>
      </c>
      <c r="D41" s="47" cm="1">
        <f t="array" ref="D41">_xlfn.IFS(AND($C$7="Y",B41&lt;C$4),D40,AND(C$7="N",B41&lt;C$4, C$6=0),D40,AND($C$7="Y",B41=C$4),D40+F41-L41+N41-J41,AND($C$7="Y",B41&gt;C$4),(D40-J41)*(1-S41-U41), TRUE, (D40-J41)*(1-S41-U41))</f>
        <v>7513.5597068346779</v>
      </c>
      <c r="E41" s="48">
        <f t="shared" si="5"/>
        <v>0</v>
      </c>
      <c r="F41" s="52">
        <f t="shared" si="14"/>
        <v>0</v>
      </c>
      <c r="G41" s="52">
        <f t="shared" si="18"/>
        <v>0</v>
      </c>
      <c r="H41" s="53">
        <f t="shared" si="6"/>
        <v>338.04509872234286</v>
      </c>
      <c r="I41" s="54">
        <f t="shared" si="2"/>
        <v>149.90209008176865</v>
      </c>
      <c r="J41" s="55">
        <f t="shared" si="7"/>
        <v>187.09068877184737</v>
      </c>
      <c r="K41" s="54" cm="1">
        <f t="array" ref="K41">_xlfn.IFS(AND($C$7="Y",B41=C$4),0,AND($C$7="N",B41=C$4),0,TRUE,((D40-D41)-L41+N41))</f>
        <v>273.22277893599687</v>
      </c>
      <c r="L41" s="51">
        <f t="shared" si="8"/>
        <v>54.61867830762214</v>
      </c>
      <c r="M41" s="51">
        <f>IFERROR(L37*-1,0)</f>
        <v>-63.971874089806676</v>
      </c>
      <c r="N41" s="51">
        <f t="shared" si="27"/>
        <v>6.397187408980666</v>
      </c>
      <c r="O41" s="48">
        <f t="shared" si="26"/>
        <v>423.12486901776549</v>
      </c>
      <c r="P41" s="37">
        <f t="shared" si="9"/>
        <v>353.1403889074972</v>
      </c>
      <c r="Q41" s="56"/>
      <c r="R41" s="56">
        <f t="shared" si="10"/>
        <v>0.12</v>
      </c>
      <c r="S41" s="56">
        <f t="shared" si="11"/>
        <v>1.0596241035318976E-2</v>
      </c>
      <c r="T41" s="56">
        <f t="shared" si="12"/>
        <v>8.0519338057870024E-2</v>
      </c>
      <c r="U41" s="56">
        <f t="shared" si="17"/>
        <v>6.9711104768118703E-3</v>
      </c>
      <c r="V41" s="37">
        <f t="shared" si="13"/>
        <v>321.44426983463836</v>
      </c>
    </row>
    <row r="42" spans="2:23" x14ac:dyDescent="0.2">
      <c r="B42" s="57">
        <f t="shared" si="3"/>
        <v>31</v>
      </c>
      <c r="C42" s="53">
        <f t="shared" si="4"/>
        <v>7467.3392211202936</v>
      </c>
      <c r="D42" s="47" cm="1">
        <f t="array" ref="D42">_xlfn.IFS(AND($C$7="Y",B42&lt;C$4),D41,AND(C$7="N",B42&lt;C$4, C$6=0),D41,AND($C$7="Y",B42=C$4),D41+F42-L42+N42-J42,AND($C$7="Y",B42&gt;C$4),(D41-J42)*(1-S42-U42), TRUE, (D41-J42)*(1-S42-U42))</f>
        <v>7197.5122316491897</v>
      </c>
      <c r="E42" s="48">
        <f t="shared" si="5"/>
        <v>0</v>
      </c>
      <c r="F42" s="52">
        <f t="shared" si="14"/>
        <v>0</v>
      </c>
      <c r="G42" s="52">
        <f t="shared" si="18"/>
        <v>0</v>
      </c>
      <c r="H42" s="53">
        <f t="shared" si="6"/>
        <v>332.10654164613459</v>
      </c>
      <c r="I42" s="54">
        <f t="shared" si="2"/>
        <v>143.75210368271846</v>
      </c>
      <c r="J42" s="55">
        <f t="shared" si="7"/>
        <v>187.34529129445315</v>
      </c>
      <c r="K42" s="54" cm="1">
        <f t="array" ref="K42">_xlfn.IFS(AND($C$7="Y",B42=C$4),0,AND($C$7="N",B42=C$4),0,TRUE,((D41-D42)-L42+N42))</f>
        <v>269.82698947110367</v>
      </c>
      <c r="L42" s="51">
        <f t="shared" si="8"/>
        <v>52.377854790466749</v>
      </c>
      <c r="M42" s="51">
        <f t="shared" ref="M42:M105" si="28">IFERROR(L38*-1,0)</f>
        <v>-61.573690760823354</v>
      </c>
      <c r="N42" s="51">
        <f t="shared" si="27"/>
        <v>6.1573690760823343</v>
      </c>
      <c r="O42" s="48">
        <f t="shared" si="26"/>
        <v>413.5790931538221</v>
      </c>
      <c r="P42" s="37">
        <f t="shared" si="9"/>
        <v>343.0994674533851</v>
      </c>
      <c r="Q42" s="56"/>
      <c r="R42" s="56">
        <f t="shared" si="10"/>
        <v>0.12</v>
      </c>
      <c r="S42" s="56">
        <f t="shared" si="11"/>
        <v>1.0596241035318976E-2</v>
      </c>
      <c r="T42" s="56">
        <f t="shared" si="12"/>
        <v>8.0519338057870024E-2</v>
      </c>
      <c r="U42" s="56">
        <f t="shared" si="17"/>
        <v>6.9711104768118703E-3</v>
      </c>
      <c r="V42" s="37">
        <f t="shared" si="13"/>
        <v>316.04747518548811</v>
      </c>
    </row>
    <row r="43" spans="2:23" s="80" customFormat="1" x14ac:dyDescent="0.2">
      <c r="B43" s="72">
        <f t="shared" si="3"/>
        <v>32</v>
      </c>
      <c r="C43" s="73">
        <f t="shared" si="4"/>
        <v>7153.2591690179634</v>
      </c>
      <c r="D43" s="74" cm="1">
        <f t="array" ref="D43">_xlfn.IFS(AND($C$7="Y",B43&lt;C$4),D42,AND(C$7="N",B43&lt;C$4, C$6=0),D42,AND($C$7="Y",B43=C$4),D42+F43-L43+N43-J43,AND($C$7="Y",B43&gt;C$4),(D42-J43)*(1-S43-U43), TRUE, (D42-J43)*(1-S43-U43))</f>
        <v>6886.7664033348183</v>
      </c>
      <c r="E43" s="75">
        <f t="shared" si="5"/>
        <v>0</v>
      </c>
      <c r="F43" s="76">
        <f t="shared" si="14"/>
        <v>0</v>
      </c>
      <c r="G43" s="76">
        <f t="shared" si="18"/>
        <v>0</v>
      </c>
      <c r="H43" s="73">
        <f t="shared" si="6"/>
        <v>326.27230928955879</v>
      </c>
      <c r="I43" s="77">
        <f t="shared" si="2"/>
        <v>137.70537068341878</v>
      </c>
      <c r="J43" s="77">
        <f>IF(AND($B43&lt;=$C$4,C$7="Y"),0,IF(AND(C$7="N",C$4&gt;0,B43&lt;=C$4),0,H43-I43-D42*U43*C$2/12))</f>
        <v>187.60024029311774</v>
      </c>
      <c r="K43" s="54" cm="1">
        <f t="array" ref="K43">_xlfn.IFS(AND($C$7="Y",B43=C$4),0,AND($C$7="N",B43=C$4),0,TRUE,((D42-D43)-L43+N43))</f>
        <v>266.49276568314548</v>
      </c>
      <c r="L43" s="73">
        <f t="shared" si="8"/>
        <v>50.174652925031253</v>
      </c>
      <c r="M43" s="73">
        <f t="shared" si="28"/>
        <v>-59.215902938052587</v>
      </c>
      <c r="N43" s="73">
        <f t="shared" si="27"/>
        <v>5.9215902938052576</v>
      </c>
      <c r="O43" s="75">
        <f t="shared" si="26"/>
        <v>404.19813636656426</v>
      </c>
      <c r="P43" s="78">
        <f t="shared" si="9"/>
        <v>333.30237024737687</v>
      </c>
      <c r="Q43" s="79"/>
      <c r="R43" s="79">
        <f t="shared" si="10"/>
        <v>0.12</v>
      </c>
      <c r="S43" s="79">
        <f t="shared" si="11"/>
        <v>1.0596241035318976E-2</v>
      </c>
      <c r="T43" s="79">
        <f t="shared" si="12"/>
        <v>8.0519338057870024E-2</v>
      </c>
      <c r="U43" s="79">
        <f t="shared" si="17"/>
        <v>6.9711104768118703E-3</v>
      </c>
      <c r="V43" s="37">
        <f t="shared" si="13"/>
        <v>310.74582831437147</v>
      </c>
    </row>
    <row r="44" spans="2:23" x14ac:dyDescent="0.2">
      <c r="B44" s="50">
        <f t="shared" si="3"/>
        <v>33</v>
      </c>
      <c r="C44" s="53">
        <f t="shared" si="4"/>
        <v>6844.4477737711168</v>
      </c>
      <c r="D44" s="47" cm="1">
        <f t="array" ref="D44">_xlfn.IFS(AND($C$7="Y",B44&lt;C$4),D43,AND(C$7="N",B44&lt;C$4, C$6=0),D43,AND($C$7="Y",B44=C$4),D43+F44-L44+N44-J44,AND($C$7="Y",B44&gt;C$4),(D43-J44)*(1-S44-U44), TRUE, (D43-J44)*(1-S44-U44))</f>
        <v>6581.2287451447755</v>
      </c>
      <c r="E44" s="48">
        <f t="shared" si="5"/>
        <v>0</v>
      </c>
      <c r="F44" s="52">
        <f t="shared" si="14"/>
        <v>0</v>
      </c>
      <c r="G44" s="52">
        <f t="shared" si="18"/>
        <v>0</v>
      </c>
      <c r="H44" s="53">
        <f t="shared" si="6"/>
        <v>320.54056894359456</v>
      </c>
      <c r="I44" s="54">
        <f t="shared" si="2"/>
        <v>131.76007068265008</v>
      </c>
      <c r="J44" s="55">
        <f t="shared" ref="J44:J107" si="29">IF(AND($B44&lt;=$C$4,C$7="Y"),0,IF(AND(C$7="N",C$4&gt;0,B44&lt;=C$4),0,H44-I44-D43*U44*C$2/12))</f>
        <v>187.85553623934376</v>
      </c>
      <c r="K44" s="54" cm="1">
        <f t="array" ref="K44">_xlfn.IFS(AND($C$7="Y",B44=C$4),0,AND($C$7="N",B44=C$4),0,TRUE,((D43-D44)-L44+N44))</f>
        <v>263.21902862634118</v>
      </c>
      <c r="L44" s="51">
        <f t="shared" si="8"/>
        <v>48.008409425643357</v>
      </c>
      <c r="M44" s="51">
        <f t="shared" si="28"/>
        <v>-56.897798619417948</v>
      </c>
      <c r="N44" s="51">
        <f t="shared" si="27"/>
        <v>5.6897798619417932</v>
      </c>
      <c r="O44" s="48">
        <f t="shared" si="26"/>
        <v>394.97909930899129</v>
      </c>
      <c r="P44" s="37">
        <f t="shared" si="9"/>
        <v>323.74333664660986</v>
      </c>
      <c r="Q44" s="56"/>
      <c r="R44" s="56">
        <f t="shared" si="10"/>
        <v>0.12</v>
      </c>
      <c r="S44" s="56">
        <f t="shared" si="11"/>
        <v>1.0596241035318976E-2</v>
      </c>
      <c r="T44" s="56">
        <f t="shared" si="12"/>
        <v>8.0519338057870024E-2</v>
      </c>
      <c r="U44" s="56">
        <f t="shared" si="17"/>
        <v>6.9711104768118703E-3</v>
      </c>
      <c r="V44" s="37">
        <f t="shared" si="13"/>
        <v>305.53765819004275</v>
      </c>
    </row>
    <row r="45" spans="2:23" x14ac:dyDescent="0.2">
      <c r="B45" s="50">
        <f t="shared" si="3"/>
        <v>34</v>
      </c>
      <c r="C45" s="53">
        <f t="shared" si="4"/>
        <v>6540.8121403199639</v>
      </c>
      <c r="D45" s="47" cm="1">
        <f t="array" ref="D45">_xlfn.IFS(AND($C$7="Y",B45&lt;C$4),D44,AND(C$7="N",B45&lt;C$4, C$6=0),D44,AND($C$7="Y",B45=C$4),D44+F45-L45+N45-J45,AND($C$7="Y",B45&gt;C$4),(D44-J45)*(1-S45-U45), TRUE, (D44-J45)*(1-S45-U45))</f>
        <v>6280.8074220072904</v>
      </c>
      <c r="E45" s="48">
        <f t="shared" si="5"/>
        <v>0</v>
      </c>
      <c r="F45" s="52">
        <f t="shared" si="14"/>
        <v>0</v>
      </c>
      <c r="G45" s="52">
        <f t="shared" si="18"/>
        <v>0</v>
      </c>
      <c r="H45" s="53">
        <f t="shared" si="6"/>
        <v>314.90952009506412</v>
      </c>
      <c r="I45" s="54">
        <f>IF(AND(C$7="Y",$B45&lt;=C$4),0,IF(AND(C$7="Y",$B45&gt;C$4),(1-U45)*C$2*D44/12,IF(AND($C$7="N",C$4&gt;0),(1-U45)*D44*C$2/12, (1-U45)*D44*C$2/12)))</f>
        <v>125.91441524995861</v>
      </c>
      <c r="J45" s="55">
        <f t="shared" si="29"/>
        <v>188.1111796052748</v>
      </c>
      <c r="K45" s="54" cm="1">
        <f t="array" ref="K45">_xlfn.IFS(AND($C$7="Y",B45=C$4),0,AND($C$7="N",B45=C$4),0,TRUE,((D44-D45)-L45+N45))</f>
        <v>260.00471831267322</v>
      </c>
      <c r="L45" s="51">
        <f t="shared" si="8"/>
        <v>45.878472655574186</v>
      </c>
      <c r="M45" s="51">
        <f t="shared" si="28"/>
        <v>-54.61867830762214</v>
      </c>
      <c r="N45" s="51">
        <f t="shared" si="27"/>
        <v>5.4618678307622126</v>
      </c>
      <c r="O45" s="48">
        <f t="shared" si="26"/>
        <v>385.91913356263183</v>
      </c>
      <c r="P45" s="37">
        <f t="shared" si="9"/>
        <v>314.41674138966943</v>
      </c>
      <c r="Q45" s="56"/>
      <c r="R45" s="56">
        <f t="shared" si="10"/>
        <v>0.12</v>
      </c>
      <c r="S45" s="56">
        <f t="shared" si="11"/>
        <v>1.0596241035318976E-2</v>
      </c>
      <c r="T45" s="56">
        <f t="shared" si="12"/>
        <v>8.0519338057870024E-2</v>
      </c>
      <c r="U45" s="56">
        <f t="shared" si="17"/>
        <v>6.9711104768118703E-3</v>
      </c>
      <c r="V45" s="37">
        <f t="shared" si="13"/>
        <v>300.42132313748516</v>
      </c>
    </row>
    <row r="46" spans="2:23" x14ac:dyDescent="0.2">
      <c r="B46" s="50">
        <f t="shared" si="3"/>
        <v>35</v>
      </c>
      <c r="C46" s="53">
        <f t="shared" si="4"/>
        <v>6242.2610050639441</v>
      </c>
      <c r="D46" s="47" cm="1">
        <f t="array" ref="D46">_xlfn.IFS(AND($C$7="Y",B46&lt;C$4),D45,AND(C$7="N",B46&lt;C$4, C$6=0),D45,AND($C$7="Y",B46=C$4),D45+F46-L46+N46-J46,AND($C$7="Y",B46&gt;C$4),(D45-J46)*(1-S46-U46), TRUE, (D45-J46)*(1-S46-U46))</f>
        <v>5985.4122116850986</v>
      </c>
      <c r="E46" s="48">
        <f t="shared" si="5"/>
        <v>0</v>
      </c>
      <c r="F46" s="52">
        <f t="shared" si="14"/>
        <v>0</v>
      </c>
      <c r="G46" s="52">
        <f t="shared" si="18"/>
        <v>0</v>
      </c>
      <c r="H46" s="53">
        <f t="shared" si="6"/>
        <v>309.37739386103777</v>
      </c>
      <c r="I46" s="54">
        <f t="shared" ref="I46:I109" si="30">IF(AND(C$7="Y",$B46&lt;=C$4),0,IF(AND(C$7="Y",$B46&gt;C$4),(1-U46)*C$2*D45/12,IF(AND($C$7="N",C$4&gt;0),(1-U46)*D45*C$2/12, (1-U46)*D45*C$2/12)))</f>
        <v>120.16664736400236</v>
      </c>
      <c r="J46" s="55">
        <f t="shared" si="29"/>
        <v>188.36717086369731</v>
      </c>
      <c r="K46" s="54" cm="1">
        <f t="array" ref="K46">_xlfn.IFS(AND($C$7="Y",B46=C$4),0,AND($C$7="N",B46=C$4),0,TRUE,((D45-D46)-L46+N46))</f>
        <v>256.8487933788457</v>
      </c>
      <c r="L46" s="51">
        <f t="shared" si="8"/>
        <v>43.784202422392774</v>
      </c>
      <c r="M46" s="51">
        <f t="shared" si="28"/>
        <v>-52.377854790466749</v>
      </c>
      <c r="N46" s="51">
        <f t="shared" si="27"/>
        <v>5.237785479046674</v>
      </c>
      <c r="O46" s="48">
        <f t="shared" si="26"/>
        <v>377.01544074284806</v>
      </c>
      <c r="P46" s="37">
        <f t="shared" si="9"/>
        <v>305.31709141830231</v>
      </c>
      <c r="Q46" s="56"/>
      <c r="R46" s="56">
        <f t="shared" si="10"/>
        <v>0.12</v>
      </c>
      <c r="S46" s="56">
        <f t="shared" si="11"/>
        <v>1.0596241035318976E-2</v>
      </c>
      <c r="T46" s="56">
        <f t="shared" si="12"/>
        <v>8.0519338057870024E-2</v>
      </c>
      <c r="U46" s="56">
        <f t="shared" si="17"/>
        <v>6.9711104768118703E-3</v>
      </c>
      <c r="V46" s="37">
        <f t="shared" si="13"/>
        <v>295.39521032219182</v>
      </c>
    </row>
    <row r="47" spans="2:23" x14ac:dyDescent="0.2">
      <c r="B47" s="50">
        <f t="shared" si="3"/>
        <v>36</v>
      </c>
      <c r="C47" s="53">
        <f t="shared" si="4"/>
        <v>5948.7047072006862</v>
      </c>
      <c r="D47" s="47" cm="1">
        <f t="array" ref="D47">_xlfn.IFS(AND($C$7="Y",B47&lt;C$4),D46,AND(C$7="N",B47&lt;C$4, C$6=0),D46,AND($C$7="Y",B47=C$4),D46+F47-L47+N47-J47,AND($C$7="Y",B47&gt;C$4),(D46-J47)*(1-S47-U47), TRUE, (D46-J47)*(1-S47-U47))</f>
        <v>5694.9544764415805</v>
      </c>
      <c r="E47" s="48">
        <f t="shared" si="5"/>
        <v>0</v>
      </c>
      <c r="F47" s="52">
        <f t="shared" si="14"/>
        <v>0</v>
      </c>
      <c r="G47" s="52">
        <f t="shared" si="18"/>
        <v>0</v>
      </c>
      <c r="H47" s="53">
        <f t="shared" si="6"/>
        <v>303.94245243317397</v>
      </c>
      <c r="I47" s="54">
        <f t="shared" si="30"/>
        <v>114.51504086076432</v>
      </c>
      <c r="J47" s="55">
        <f t="shared" si="29"/>
        <v>188.62351048804109</v>
      </c>
      <c r="K47" s="54" cm="1">
        <f t="array" ref="K47">_xlfn.IFS(AND($C$7="Y",B47=C$4),0,AND($C$7="N",B47=C$4),0,TRUE,((D46-D47)-L47+N47))</f>
        <v>253.75023075910548</v>
      </c>
      <c r="L47" s="51">
        <f t="shared" si="8"/>
        <v>41.7249697769157</v>
      </c>
      <c r="M47" s="51">
        <f t="shared" si="28"/>
        <v>-50.174652925031253</v>
      </c>
      <c r="N47" s="51">
        <f t="shared" si="27"/>
        <v>5.0174652925031245</v>
      </c>
      <c r="O47" s="48">
        <f t="shared" si="26"/>
        <v>368.26527161986979</v>
      </c>
      <c r="P47" s="37">
        <f t="shared" si="9"/>
        <v>296.43902277373905</v>
      </c>
      <c r="Q47" s="56"/>
      <c r="R47" s="56">
        <f t="shared" si="10"/>
        <v>0.12</v>
      </c>
      <c r="S47" s="56">
        <f t="shared" si="11"/>
        <v>1.0596241035318976E-2</v>
      </c>
      <c r="T47" s="56">
        <f t="shared" si="12"/>
        <v>8.0519338057870024E-2</v>
      </c>
      <c r="U47" s="56">
        <f t="shared" si="17"/>
        <v>6.9711104768118703E-3</v>
      </c>
      <c r="V47" s="37">
        <f t="shared" si="13"/>
        <v>290.45773524351807</v>
      </c>
    </row>
    <row r="48" spans="2:23" x14ac:dyDescent="0.2">
      <c r="B48" s="50">
        <f t="shared" si="3"/>
        <v>37</v>
      </c>
      <c r="C48" s="53">
        <f t="shared" si="4"/>
        <v>5660.0551605684568</v>
      </c>
      <c r="D48" s="47" cm="1">
        <f t="array" ref="D48">_xlfn.IFS(AND($C$7="Y",B48&lt;C$4),D47,AND(C$7="N",B48&lt;C$4, C$6=0),D47,AND($C$7="Y",B48=C$4),D47+F48-L48+N48-J48,AND($C$7="Y",B48&gt;C$4),(D47-J48)*(1-S48-U48), TRUE, (D47-J48)*(1-S48-U48))</f>
        <v>5409.3471352046463</v>
      </c>
      <c r="E48" s="48">
        <f t="shared" si="5"/>
        <v>0</v>
      </c>
      <c r="F48" s="52">
        <f t="shared" si="14"/>
        <v>0</v>
      </c>
      <c r="G48" s="52">
        <f t="shared" si="18"/>
        <v>0</v>
      </c>
      <c r="H48" s="53">
        <f t="shared" si="6"/>
        <v>298.60298853182132</v>
      </c>
      <c r="I48" s="54">
        <f t="shared" si="30"/>
        <v>108.95789989145885</v>
      </c>
      <c r="J48" s="55">
        <f t="shared" si="29"/>
        <v>188.8801989523802</v>
      </c>
      <c r="K48" s="54" cm="1">
        <f t="array" ref="K48">_xlfn.IFS(AND($C$7="Y",B48=C$4),0,AND($C$7="N",B48=C$4),0,TRUE,((D47-D48)-L48+N48))</f>
        <v>250.70802536380995</v>
      </c>
      <c r="L48" s="51">
        <f t="shared" si="8"/>
        <v>39.700156815688558</v>
      </c>
      <c r="M48" s="51">
        <f t="shared" si="28"/>
        <v>-48.008409425643357</v>
      </c>
      <c r="N48" s="51">
        <f t="shared" si="27"/>
        <v>4.800840942564335</v>
      </c>
      <c r="O48" s="48">
        <f t="shared" si="26"/>
        <v>359.6659252552688</v>
      </c>
      <c r="P48" s="37">
        <f t="shared" si="9"/>
        <v>287.77729756586439</v>
      </c>
      <c r="Q48" s="56"/>
      <c r="R48" s="56">
        <f t="shared" si="10"/>
        <v>0.12</v>
      </c>
      <c r="S48" s="56">
        <f t="shared" si="11"/>
        <v>1.0596241035318976E-2</v>
      </c>
      <c r="T48" s="56">
        <f t="shared" si="12"/>
        <v>8.0519338057870024E-2</v>
      </c>
      <c r="U48" s="56">
        <f t="shared" si="17"/>
        <v>6.9711104768118703E-3</v>
      </c>
      <c r="V48" s="37">
        <f t="shared" si="13"/>
        <v>285.60734123693419</v>
      </c>
    </row>
    <row r="49" spans="2:22" x14ac:dyDescent="0.2">
      <c r="B49" s="50">
        <f t="shared" si="3"/>
        <v>38</v>
      </c>
      <c r="C49" s="53">
        <f t="shared" si="4"/>
        <v>5376.225825983267</v>
      </c>
      <c r="D49" s="47" cm="1">
        <f t="array" ref="D49">_xlfn.IFS(AND($C$7="Y",B49&lt;C$4),D48,AND(C$7="N",B49&lt;C$4, C$6=0),D48,AND($C$7="Y",B49=C$4),D48+F49-L49+N49-J49,AND($C$7="Y",B49&gt;C$4),(D48-J49)*(1-S49-U49), TRUE, (D48-J49)*(1-S49-U49))</f>
        <v>5128.5046362196281</v>
      </c>
      <c r="E49" s="48">
        <f t="shared" si="5"/>
        <v>0</v>
      </c>
      <c r="F49" s="52">
        <f t="shared" si="14"/>
        <v>0</v>
      </c>
      <c r="G49" s="52">
        <f t="shared" si="18"/>
        <v>0</v>
      </c>
      <c r="H49" s="53">
        <f t="shared" si="6"/>
        <v>293.35732486971017</v>
      </c>
      <c r="I49" s="54">
        <f t="shared" si="30"/>
        <v>103.49355838996119</v>
      </c>
      <c r="J49" s="55">
        <f t="shared" si="29"/>
        <v>189.13723673143397</v>
      </c>
      <c r="K49" s="54" cm="1">
        <f t="array" ref="K49">_xlfn.IFS(AND($C$7="Y",B49=C$4),0,AND($C$7="N",B49=C$4),0,TRUE,((D48-D49)-L49+N49))</f>
        <v>247.72118976363825</v>
      </c>
      <c r="L49" s="51">
        <f t="shared" si="8"/>
        <v>37.709156486937388</v>
      </c>
      <c r="M49" s="51">
        <f t="shared" si="28"/>
        <v>-45.878472655574186</v>
      </c>
      <c r="N49" s="51">
        <f t="shared" si="27"/>
        <v>4.5878472655574178</v>
      </c>
      <c r="O49" s="48">
        <f t="shared" si="26"/>
        <v>351.21474815359943</v>
      </c>
      <c r="P49" s="37">
        <f t="shared" si="9"/>
        <v>279.32680101352315</v>
      </c>
      <c r="Q49" s="56"/>
      <c r="R49" s="56">
        <f t="shared" si="10"/>
        <v>0.12</v>
      </c>
      <c r="S49" s="56">
        <f t="shared" si="11"/>
        <v>1.0596241035318976E-2</v>
      </c>
      <c r="T49" s="56">
        <f t="shared" si="12"/>
        <v>8.0519338057870024E-2</v>
      </c>
      <c r="U49" s="56">
        <f t="shared" si="17"/>
        <v>6.9711104768118703E-3</v>
      </c>
      <c r="V49" s="37">
        <f t="shared" si="13"/>
        <v>280.84249898501821</v>
      </c>
    </row>
    <row r="50" spans="2:22" x14ac:dyDescent="0.2">
      <c r="B50" s="50">
        <f t="shared" si="3"/>
        <v>39</v>
      </c>
      <c r="C50" s="53">
        <f t="shared" si="4"/>
        <v>5097.1316840619384</v>
      </c>
      <c r="D50" s="47" cm="1">
        <f t="array" ref="D50">_xlfn.IFS(AND($C$7="Y",B50&lt;C$4),D49,AND(C$7="N",B50&lt;C$4, C$6=0),D49,AND($C$7="Y",B50=C$4),D49+F50-L50+N50-J50,AND($C$7="Y",B50&gt;C$4),(D49-J50)*(1-S50-U50), TRUE, (D49-J50)*(1-S50-U50))</f>
        <v>4852.3429301825936</v>
      </c>
      <c r="E50" s="48">
        <f t="shared" si="5"/>
        <v>0</v>
      </c>
      <c r="F50" s="52">
        <f t="shared" si="14"/>
        <v>0</v>
      </c>
      <c r="G50" s="52">
        <f t="shared" si="18"/>
        <v>0</v>
      </c>
      <c r="H50" s="53">
        <f t="shared" si="6"/>
        <v>288.20381362506566</v>
      </c>
      <c r="I50" s="54">
        <f t="shared" si="30"/>
        <v>98.120379549592869</v>
      </c>
      <c r="J50" s="55">
        <f t="shared" si="29"/>
        <v>189.39462430056747</v>
      </c>
      <c r="K50" s="54" cm="1">
        <f t="array" ref="K50">_xlfn.IFS(AND($C$7="Y",B50=C$4),0,AND($C$7="N",B50=C$4),0,TRUE,((D49-D50)-L50+N50))</f>
        <v>244.78875387934488</v>
      </c>
      <c r="L50" s="51">
        <f t="shared" si="8"/>
        <v>35.751372399928897</v>
      </c>
      <c r="M50" s="51">
        <f t="shared" si="28"/>
        <v>-43.784202422392774</v>
      </c>
      <c r="N50" s="51">
        <f t="shared" si="27"/>
        <v>4.3784202422392768</v>
      </c>
      <c r="O50" s="48">
        <f t="shared" si="26"/>
        <v>342.90913342893776</v>
      </c>
      <c r="P50" s="37">
        <f t="shared" si="9"/>
        <v>271.08253855429143</v>
      </c>
      <c r="Q50" s="56"/>
      <c r="R50" s="56">
        <f t="shared" si="10"/>
        <v>0.12</v>
      </c>
      <c r="S50" s="56">
        <f t="shared" si="11"/>
        <v>1.0596241035318976E-2</v>
      </c>
      <c r="T50" s="56">
        <f t="shared" si="12"/>
        <v>8.0519338057870024E-2</v>
      </c>
      <c r="U50" s="56">
        <f t="shared" si="17"/>
        <v>6.9711104768118703E-3</v>
      </c>
      <c r="V50" s="37">
        <f t="shared" si="13"/>
        <v>276.16170603703449</v>
      </c>
    </row>
    <row r="51" spans="2:22" x14ac:dyDescent="0.2">
      <c r="B51" s="50">
        <f t="shared" si="3"/>
        <v>40</v>
      </c>
      <c r="C51" s="53">
        <f t="shared" si="4"/>
        <v>4822.6892085226054</v>
      </c>
      <c r="D51" s="47" cm="1">
        <f t="array" ref="D51">_xlfn.IFS(AND($C$7="Y",B51&lt;C$4),D50,AND(C$7="N",B51&lt;C$4, C$6=0),D50,AND($C$7="Y",B51=C$4),D50+F51-L51+N51-J51,AND($C$7="Y",B51&gt;C$4),(D50-J51)*(1-S51-U51), TRUE, (D50-J51)*(1-S51-U51))</f>
        <v>4580.7794438456258</v>
      </c>
      <c r="E51" s="48">
        <f t="shared" si="5"/>
        <v>0</v>
      </c>
      <c r="F51" s="52">
        <f t="shared" si="14"/>
        <v>0</v>
      </c>
      <c r="G51" s="52">
        <f t="shared" si="18"/>
        <v>0</v>
      </c>
      <c r="H51" s="53">
        <f t="shared" si="6"/>
        <v>283.14083592397753</v>
      </c>
      <c r="I51" s="54">
        <f t="shared" si="30"/>
        <v>92.836755309098677</v>
      </c>
      <c r="J51" s="55">
        <f t="shared" si="29"/>
        <v>189.65236213579288</v>
      </c>
      <c r="K51" s="54" cm="1">
        <f t="array" ref="K51">_xlfn.IFS(AND($C$7="Y",B51=C$4),0,AND($C$7="N",B51=C$4),0,TRUE,((D50-D51)-L51+N51))</f>
        <v>241.90976467697948</v>
      </c>
      <c r="L51" s="51">
        <f t="shared" si="8"/>
        <v>33.826218637679887</v>
      </c>
      <c r="M51" s="51">
        <f t="shared" si="28"/>
        <v>-41.7249697769157</v>
      </c>
      <c r="N51" s="51">
        <f t="shared" si="27"/>
        <v>4.1724969776915692</v>
      </c>
      <c r="O51" s="48">
        <f t="shared" si="26"/>
        <v>334.74651998607817</v>
      </c>
      <c r="P51" s="37">
        <f t="shared" si="9"/>
        <v>263.03963302209883</v>
      </c>
      <c r="Q51" s="56"/>
      <c r="R51" s="56">
        <f t="shared" si="10"/>
        <v>0.12</v>
      </c>
      <c r="S51" s="56">
        <f t="shared" si="11"/>
        <v>1.0596241035318976E-2</v>
      </c>
      <c r="T51" s="56">
        <f t="shared" si="12"/>
        <v>8.0519338057870024E-2</v>
      </c>
      <c r="U51" s="56">
        <f t="shared" si="17"/>
        <v>6.9711104768118703E-3</v>
      </c>
      <c r="V51" s="37">
        <f t="shared" si="13"/>
        <v>271.5634863369678</v>
      </c>
    </row>
    <row r="52" spans="2:22" x14ac:dyDescent="0.2">
      <c r="B52" s="50">
        <f t="shared" si="3"/>
        <v>41</v>
      </c>
      <c r="C52" s="53">
        <f t="shared" si="4"/>
        <v>4552.8163399542382</v>
      </c>
      <c r="D52" s="47" cm="1">
        <f t="array" ref="D52">_xlfn.IFS(AND($C$7="Y",B52&lt;C$4),D51,AND(C$7="N",B52&lt;C$4, C$6=0),D51,AND($C$7="Y",B52=C$4),D51+F52-L52+N52-J52,AND($C$7="Y",B52&gt;C$4),(D51-J52)*(1-S52-U52), TRUE, (D51-J52)*(1-S52-U52))</f>
        <v>4313.7330540857929</v>
      </c>
      <c r="E52" s="48">
        <f t="shared" si="5"/>
        <v>0</v>
      </c>
      <c r="F52" s="52">
        <f t="shared" si="14"/>
        <v>0</v>
      </c>
      <c r="G52" s="52">
        <f t="shared" si="18"/>
        <v>0</v>
      </c>
      <c r="H52" s="53">
        <f t="shared" si="6"/>
        <v>278.16680133186253</v>
      </c>
      <c r="I52" s="54">
        <f t="shared" si="30"/>
        <v>87.641105847653421</v>
      </c>
      <c r="J52" s="55">
        <f t="shared" si="29"/>
        <v>189.91045071377013</v>
      </c>
      <c r="K52" s="54" cm="1">
        <f t="array" ref="K52">_xlfn.IFS(AND($C$7="Y",B52=C$4),0,AND($C$7="N",B52=C$4),0,TRUE,((D51-D52)-L52+N52))</f>
        <v>239.08328586844507</v>
      </c>
      <c r="L52" s="51">
        <f t="shared" si="8"/>
        <v>31.933119572956695</v>
      </c>
      <c r="M52" s="51">
        <f t="shared" si="28"/>
        <v>-39.700156815688558</v>
      </c>
      <c r="N52" s="51">
        <f t="shared" si="27"/>
        <v>3.9700156815688548</v>
      </c>
      <c r="O52" s="48">
        <f t="shared" si="26"/>
        <v>326.72439171609847</v>
      </c>
      <c r="P52" s="37">
        <f t="shared" si="9"/>
        <v>255.19332189108431</v>
      </c>
      <c r="Q52" s="56"/>
      <c r="R52" s="56">
        <f t="shared" si="10"/>
        <v>0.12</v>
      </c>
      <c r="S52" s="56">
        <f t="shared" si="11"/>
        <v>1.0596241035318976E-2</v>
      </c>
      <c r="T52" s="56">
        <f t="shared" si="12"/>
        <v>8.0519338057870024E-2</v>
      </c>
      <c r="U52" s="56">
        <f t="shared" si="17"/>
        <v>6.9711104768118703E-3</v>
      </c>
      <c r="V52" s="37">
        <f t="shared" si="13"/>
        <v>267.04638975983289</v>
      </c>
    </row>
    <row r="53" spans="2:22" x14ac:dyDescent="0.2">
      <c r="B53" s="50">
        <f t="shared" si="3"/>
        <v>42</v>
      </c>
      <c r="C53" s="53">
        <f t="shared" si="4"/>
        <v>4287.432460046979</v>
      </c>
      <c r="D53" s="47" cm="1">
        <f t="array" ref="D53">_xlfn.IFS(AND($C$7="Y",B53&lt;C$4),D52,AND(C$7="N",B53&lt;C$4, C$6=0),D52,AND($C$7="Y",B53=C$4),D52+F53-L53+N53-J53,AND($C$7="Y",B53&gt;C$4),(D52-J53)*(1-S53-U53), TRUE, (D52-J53)*(1-S53-U53))</f>
        <v>4051.1240624296547</v>
      </c>
      <c r="E53" s="48">
        <f t="shared" si="5"/>
        <v>0</v>
      </c>
      <c r="F53" s="52">
        <f t="shared" si="14"/>
        <v>0</v>
      </c>
      <c r="G53" s="52">
        <f t="shared" si="18"/>
        <v>0</v>
      </c>
      <c r="H53" s="53">
        <f t="shared" si="6"/>
        <v>273.28014735386074</v>
      </c>
      <c r="I53" s="54">
        <f t="shared" si="30"/>
        <v>82.531879088740297</v>
      </c>
      <c r="J53" s="55">
        <f t="shared" si="29"/>
        <v>190.1688905118078</v>
      </c>
      <c r="K53" s="54" cm="1">
        <f t="array" ref="K53">_xlfn.IFS(AND($C$7="Y",B53=C$4),0,AND($C$7="N",B53=C$4),0,TRUE,((D52-D53)-L53+N53))</f>
        <v>236.3083976173248</v>
      </c>
      <c r="L53" s="51">
        <f t="shared" si="8"/>
        <v>30.071509687507138</v>
      </c>
      <c r="M53" s="51">
        <f t="shared" si="28"/>
        <v>-37.709156486937388</v>
      </c>
      <c r="N53" s="51">
        <f t="shared" si="27"/>
        <v>3.7709156486937379</v>
      </c>
      <c r="O53" s="48">
        <f t="shared" si="26"/>
        <v>318.84027670606508</v>
      </c>
      <c r="P53" s="37">
        <f t="shared" si="9"/>
        <v>247.53895458414956</v>
      </c>
      <c r="Q53" s="56"/>
      <c r="R53" s="56">
        <f t="shared" si="10"/>
        <v>0.12</v>
      </c>
      <c r="S53" s="56">
        <f t="shared" si="11"/>
        <v>1.0596241035318976E-2</v>
      </c>
      <c r="T53" s="56">
        <f t="shared" si="12"/>
        <v>8.0519338057870024E-2</v>
      </c>
      <c r="U53" s="56">
        <f t="shared" si="17"/>
        <v>6.9711104768118703E-3</v>
      </c>
      <c r="V53" s="37">
        <f t="shared" si="13"/>
        <v>262.60899165613819</v>
      </c>
    </row>
    <row r="54" spans="2:22" x14ac:dyDescent="0.2">
      <c r="B54" s="50">
        <f t="shared" si="3"/>
        <v>43</v>
      </c>
      <c r="C54" s="53">
        <f t="shared" si="4"/>
        <v>4026.4583662751793</v>
      </c>
      <c r="D54" s="47" cm="1">
        <f t="array" ref="D54">_xlfn.IFS(AND($C$7="Y",B54&lt;C$4),D53,AND(C$7="N",B54&lt;C$4, C$6=0),D53,AND($C$7="Y",B54=C$4),D53+F54-L54+N54-J54,AND($C$7="Y",B54&gt;C$4),(D53-J54)*(1-S54-U54), TRUE, (D53-J54)*(1-S54-U54))</f>
        <v>3792.8741700253099</v>
      </c>
      <c r="E54" s="48">
        <f t="shared" si="5"/>
        <v>0</v>
      </c>
      <c r="F54" s="52">
        <f t="shared" si="14"/>
        <v>0</v>
      </c>
      <c r="G54" s="52">
        <f t="shared" si="18"/>
        <v>0</v>
      </c>
      <c r="H54" s="53">
        <f t="shared" si="6"/>
        <v>268.47933894400865</v>
      </c>
      <c r="I54" s="54">
        <f t="shared" si="30"/>
        <v>77.50755021274459</v>
      </c>
      <c r="J54" s="55">
        <f t="shared" si="29"/>
        <v>190.42768200786395</v>
      </c>
      <c r="K54" s="54" cm="1">
        <f t="array" ref="K54">_xlfn.IFS(AND($C$7="Y",B54=C$4),0,AND($C$7="N",B54=C$4),0,TRUE,((D53-D54)-L54+N54))</f>
        <v>233.58419624986965</v>
      </c>
      <c r="L54" s="51">
        <f t="shared" si="8"/>
        <v>28.24083339446803</v>
      </c>
      <c r="M54" s="51">
        <f t="shared" si="28"/>
        <v>-35.751372399928897</v>
      </c>
      <c r="N54" s="51">
        <f t="shared" si="27"/>
        <v>3.5751372399928889</v>
      </c>
      <c r="O54" s="48">
        <f t="shared" si="26"/>
        <v>311.09174646261425</v>
      </c>
      <c r="P54" s="37">
        <f t="shared" si="9"/>
        <v>240.07198984468087</v>
      </c>
      <c r="Q54" s="56"/>
      <c r="R54" s="56">
        <f t="shared" si="10"/>
        <v>0.12</v>
      </c>
      <c r="S54" s="56">
        <f t="shared" si="11"/>
        <v>1.0596241035318976E-2</v>
      </c>
      <c r="T54" s="56">
        <f t="shared" si="12"/>
        <v>8.0519338057870024E-2</v>
      </c>
      <c r="U54" s="56">
        <f t="shared" si="17"/>
        <v>6.9711104768118703E-3</v>
      </c>
      <c r="V54" s="37">
        <f t="shared" si="13"/>
        <v>258.24989240434479</v>
      </c>
    </row>
    <row r="55" spans="2:22" x14ac:dyDescent="0.2">
      <c r="B55" s="50">
        <f t="shared" si="3"/>
        <v>44</v>
      </c>
      <c r="C55" s="53">
        <f t="shared" si="4"/>
        <v>3769.816247025185</v>
      </c>
      <c r="D55" s="47" cm="1">
        <f t="array" ref="D55">_xlfn.IFS(AND($C$7="Y",B55&lt;C$4),D54,AND(C$7="N",B55&lt;C$4, C$6=0),D54,AND($C$7="Y",B55=C$4),D54+F55-L55+N55-J55,AND($C$7="Y",B55&gt;C$4),(D54-J55)*(1-S55-U55), TRUE, (D54-J55)*(1-S55-U55))</f>
        <v>3538.9064530541095</v>
      </c>
      <c r="E55" s="48">
        <f t="shared" si="5"/>
        <v>0</v>
      </c>
      <c r="F55" s="52">
        <f t="shared" si="14"/>
        <v>0</v>
      </c>
      <c r="G55" s="52">
        <f t="shared" si="18"/>
        <v>0</v>
      </c>
      <c r="H55" s="53">
        <f t="shared" si="6"/>
        <v>263.76286802303468</v>
      </c>
      <c r="I55" s="54">
        <f t="shared" si="30"/>
        <v>72.566621178109969</v>
      </c>
      <c r="J55" s="55">
        <f t="shared" si="29"/>
        <v>190.68682568054703</v>
      </c>
      <c r="K55" s="54" cm="1">
        <f t="array" ref="K55">_xlfn.IFS(AND($C$7="Y",B55=C$4),0,AND($C$7="N",B55=C$4),0,TRUE,((D54-D55)-L55+N55))</f>
        <v>230.9097939710758</v>
      </c>
      <c r="L55" s="51">
        <f t="shared" si="8"/>
        <v>26.440544863892566</v>
      </c>
      <c r="M55" s="51">
        <f t="shared" si="28"/>
        <v>-33.826218637679887</v>
      </c>
      <c r="N55" s="51">
        <f t="shared" si="27"/>
        <v>3.3826218637679881</v>
      </c>
      <c r="O55" s="48">
        <f t="shared" si="26"/>
        <v>303.47641514918575</v>
      </c>
      <c r="P55" s="37">
        <f t="shared" si="9"/>
        <v>232.78799316997029</v>
      </c>
      <c r="Q55" s="56"/>
      <c r="R55" s="56">
        <f t="shared" si="10"/>
        <v>0.12</v>
      </c>
      <c r="S55" s="56">
        <f t="shared" si="11"/>
        <v>1.0596241035318976E-2</v>
      </c>
      <c r="T55" s="56">
        <f t="shared" si="12"/>
        <v>8.0519338057870024E-2</v>
      </c>
      <c r="U55" s="56">
        <f t="shared" si="17"/>
        <v>6.9711104768118703E-3</v>
      </c>
      <c r="V55" s="37">
        <f t="shared" si="13"/>
        <v>253.96771697120039</v>
      </c>
    </row>
    <row r="56" spans="2:22" x14ac:dyDescent="0.2">
      <c r="B56" s="50">
        <f t="shared" si="3"/>
        <v>45</v>
      </c>
      <c r="C56" s="53">
        <f t="shared" si="4"/>
        <v>3517.4296571600626</v>
      </c>
      <c r="D56" s="47" cm="1">
        <f t="array" ref="D56">_xlfn.IFS(AND($C$7="Y",B56&lt;C$4),D55,AND(C$7="N",B56&lt;C$4, C$6=0),D55,AND($C$7="Y",B56=C$4),D55+F56-L56+N56-J56,AND($C$7="Y",B56&gt;C$4),(D55-J56)*(1-S56-U56), TRUE, (D55-J56)*(1-S56-U56))</f>
        <v>3289.1453385743253</v>
      </c>
      <c r="E56" s="48">
        <f t="shared" si="5"/>
        <v>0</v>
      </c>
      <c r="F56" s="52">
        <f t="shared" si="14"/>
        <v>0</v>
      </c>
      <c r="G56" s="52">
        <f t="shared" si="18"/>
        <v>0</v>
      </c>
      <c r="H56" s="53">
        <f t="shared" si="6"/>
        <v>259.12925300462643</v>
      </c>
      <c r="I56" s="54">
        <f t="shared" si="30"/>
        <v>67.707620250906643</v>
      </c>
      <c r="J56" s="55">
        <f t="shared" si="29"/>
        <v>190.94632200911727</v>
      </c>
      <c r="K56" s="54" cm="1">
        <f t="array" ref="K56">_xlfn.IFS(AND($C$7="Y",B56=C$4),0,AND($C$7="N",B56=C$4),0,TRUE,((D55-D56)-L56+N56))</f>
        <v>228.28431858573731</v>
      </c>
      <c r="L56" s="51">
        <f t="shared" si="8"/>
        <v>24.670107851342639</v>
      </c>
      <c r="M56" s="51">
        <f t="shared" si="28"/>
        <v>-31.933119572956695</v>
      </c>
      <c r="N56" s="51">
        <f t="shared" si="27"/>
        <v>3.193311957295669</v>
      </c>
      <c r="O56" s="48">
        <f t="shared" si="26"/>
        <v>295.99193883664395</v>
      </c>
      <c r="P56" s="37">
        <f t="shared" si="9"/>
        <v>225.68263430487002</v>
      </c>
      <c r="Q56" s="56"/>
      <c r="R56" s="56">
        <f t="shared" si="10"/>
        <v>0.12</v>
      </c>
      <c r="S56" s="56">
        <f t="shared" si="11"/>
        <v>1.0596241035318976E-2</v>
      </c>
      <c r="T56" s="56">
        <f t="shared" si="12"/>
        <v>8.0519338057870024E-2</v>
      </c>
      <c r="U56" s="56">
        <f t="shared" si="17"/>
        <v>6.9711104768118703E-3</v>
      </c>
      <c r="V56" s="37">
        <f t="shared" si="13"/>
        <v>249.76111447978428</v>
      </c>
    </row>
    <row r="57" spans="2:22" x14ac:dyDescent="0.2">
      <c r="B57" s="50">
        <f t="shared" si="3"/>
        <v>46</v>
      </c>
      <c r="C57" s="53">
        <f t="shared" si="4"/>
        <v>3269.2234940135836</v>
      </c>
      <c r="D57" s="47" cm="1">
        <f t="array" ref="D57">_xlfn.IFS(AND($C$7="Y",B57&lt;C$4),D56,AND(C$7="N",B57&lt;C$4, C$6=0),D56,AND($C$7="Y",B57=C$4),D56+F57-L57+N57-J57,AND($C$7="Y",B57&gt;C$4),(D56-J57)*(1-S57-U57), TRUE, (D56-J57)*(1-S57-U57))</f>
        <v>3043.5165807891804</v>
      </c>
      <c r="E57" s="48">
        <f t="shared" si="5"/>
        <v>0</v>
      </c>
      <c r="F57" s="52">
        <f t="shared" si="14"/>
        <v>0</v>
      </c>
      <c r="G57" s="52">
        <f t="shared" si="18"/>
        <v>0</v>
      </c>
      <c r="H57" s="53">
        <f t="shared" si="6"/>
        <v>254.57703833001833</v>
      </c>
      <c r="I57" s="54">
        <f t="shared" si="30"/>
        <v>62.929101542663773</v>
      </c>
      <c r="J57" s="55">
        <f t="shared" si="29"/>
        <v>191.20617147348634</v>
      </c>
      <c r="K57" s="54" cm="1">
        <f t="array" ref="K57">_xlfn.IFS(AND($C$7="Y",B57=C$4),0,AND($C$7="N",B57=C$4),0,TRUE,((D56-D57)-L57+N57))</f>
        <v>225.70691322440322</v>
      </c>
      <c r="L57" s="51">
        <f t="shared" si="8"/>
        <v>22.928995529492404</v>
      </c>
      <c r="M57" s="51">
        <f t="shared" si="28"/>
        <v>-30.071509687507138</v>
      </c>
      <c r="N57" s="51">
        <f t="shared" si="27"/>
        <v>3.0071509687507132</v>
      </c>
      <c r="O57" s="48">
        <f t="shared" si="26"/>
        <v>288.63601476706697</v>
      </c>
      <c r="P57" s="37">
        <f t="shared" si="9"/>
        <v>218.75168479427791</v>
      </c>
      <c r="Q57" s="56"/>
      <c r="R57" s="56">
        <f t="shared" si="10"/>
        <v>0.12</v>
      </c>
      <c r="S57" s="56">
        <f t="shared" si="11"/>
        <v>1.0596241035318976E-2</v>
      </c>
      <c r="T57" s="56">
        <f t="shared" si="12"/>
        <v>8.0519338057870024E-2</v>
      </c>
      <c r="U57" s="56">
        <f t="shared" si="17"/>
        <v>6.9711104768118703E-3</v>
      </c>
      <c r="V57" s="37">
        <f t="shared" si="13"/>
        <v>245.6287577851449</v>
      </c>
    </row>
    <row r="58" spans="2:22" x14ac:dyDescent="0.2">
      <c r="B58" s="50">
        <f t="shared" si="3"/>
        <v>47</v>
      </c>
      <c r="C58" s="53">
        <f t="shared" si="4"/>
        <v>3025.1239738059367</v>
      </c>
      <c r="D58" s="47" cm="1">
        <f t="array" ref="D58">_xlfn.IFS(AND($C$7="Y",B58&lt;C$4),D57,AND(C$7="N",B58&lt;C$4, C$6=0),D57,AND($C$7="Y",B58=C$4),D57+F58-L58+N58-J58,AND($C$7="Y",B58&gt;C$4),(D57-J58)*(1-S58-U58), TRUE, (D57-J58)*(1-S58-U58))</f>
        <v>2801.9472377317857</v>
      </c>
      <c r="E58" s="48">
        <f t="shared" si="5"/>
        <v>0</v>
      </c>
      <c r="F58" s="52">
        <f t="shared" si="14"/>
        <v>0</v>
      </c>
      <c r="G58" s="52">
        <f t="shared" si="18"/>
        <v>0</v>
      </c>
      <c r="H58" s="53">
        <f t="shared" si="6"/>
        <v>250.10479401075779</v>
      </c>
      <c r="I58" s="54">
        <f t="shared" si="30"/>
        <v>58.229644556321041</v>
      </c>
      <c r="J58" s="55">
        <f t="shared" si="29"/>
        <v>191.46637455421958</v>
      </c>
      <c r="K58" s="54" cm="1">
        <f t="array" ref="K58">_xlfn.IFS(AND($C$7="Y",B58=C$4),0,AND($C$7="N",B58=C$4),0,TRUE,((D57-D58)-L58+N58))</f>
        <v>223.17673607415142</v>
      </c>
      <c r="L58" s="51">
        <f t="shared" si="8"/>
        <v>21.216690322690095</v>
      </c>
      <c r="M58" s="51">
        <f t="shared" si="28"/>
        <v>-28.24083339446803</v>
      </c>
      <c r="N58" s="51">
        <f t="shared" si="27"/>
        <v>2.8240833394468026</v>
      </c>
      <c r="O58" s="48">
        <f t="shared" si="26"/>
        <v>281.40638063047248</v>
      </c>
      <c r="P58" s="37">
        <f t="shared" si="9"/>
        <v>211.99101559307343</v>
      </c>
      <c r="Q58" s="56"/>
      <c r="R58" s="56">
        <f t="shared" si="10"/>
        <v>0.12</v>
      </c>
      <c r="S58" s="56">
        <f t="shared" si="11"/>
        <v>1.0596241035318976E-2</v>
      </c>
      <c r="T58" s="56">
        <f t="shared" si="12"/>
        <v>8.0519338057870024E-2</v>
      </c>
      <c r="U58" s="56">
        <f t="shared" si="17"/>
        <v>6.9711104768118703E-3</v>
      </c>
      <c r="V58" s="37">
        <f t="shared" si="13"/>
        <v>241.56934305739469</v>
      </c>
    </row>
    <row r="59" spans="2:22" x14ac:dyDescent="0.2">
      <c r="B59" s="50">
        <f t="shared" si="3"/>
        <v>48</v>
      </c>
      <c r="C59" s="53">
        <f t="shared" si="4"/>
        <v>2785.0586084737488</v>
      </c>
      <c r="D59" s="47" cm="1">
        <f t="array" ref="D59">_xlfn.IFS(AND($C$7="Y",B59&lt;C$4),D58,AND(C$7="N",B59&lt;C$4, C$6=0),D58,AND($C$7="Y",B59=C$4),D58+F59-L59+N59-J59,AND($C$7="Y",B59&gt;C$4),(D58-J59)*(1-S59-U59), TRUE, (D58-J59)*(1-S59-U59))</f>
        <v>2564.3656483596592</v>
      </c>
      <c r="E59" s="48">
        <f t="shared" si="5"/>
        <v>0</v>
      </c>
      <c r="F59" s="52">
        <f t="shared" si="14"/>
        <v>0</v>
      </c>
      <c r="G59" s="52">
        <f t="shared" si="18"/>
        <v>0</v>
      </c>
      <c r="H59" s="53">
        <f t="shared" si="6"/>
        <v>245.71111517950172</v>
      </c>
      <c r="I59" s="54">
        <f t="shared" si="30"/>
        <v>53.607853740156457</v>
      </c>
      <c r="J59" s="55">
        <f t="shared" si="29"/>
        <v>191.72693173253597</v>
      </c>
      <c r="K59" s="54" cm="1">
        <f t="array" ref="K59">_xlfn.IFS(AND($C$7="Y",B59=C$4),0,AND($C$7="N",B59=C$4),0,TRUE,((D58-D59)-L59+N59))</f>
        <v>220.6929601140896</v>
      </c>
      <c r="L59" s="51">
        <f t="shared" si="8"/>
        <v>19.53268374442613</v>
      </c>
      <c r="M59" s="51">
        <f t="shared" si="28"/>
        <v>-26.440544863892566</v>
      </c>
      <c r="N59" s="51">
        <f t="shared" si="27"/>
        <v>2.6440544863892561</v>
      </c>
      <c r="O59" s="48">
        <f t="shared" si="26"/>
        <v>274.30081385424603</v>
      </c>
      <c r="P59" s="37">
        <f t="shared" si="9"/>
        <v>205.39659473215022</v>
      </c>
      <c r="Q59" s="56"/>
      <c r="R59" s="56">
        <f t="shared" si="10"/>
        <v>0.12</v>
      </c>
      <c r="S59" s="56">
        <f t="shared" si="11"/>
        <v>1.0596241035318976E-2</v>
      </c>
      <c r="T59" s="56">
        <f t="shared" si="12"/>
        <v>8.0519338057870024E-2</v>
      </c>
      <c r="U59" s="56">
        <f t="shared" si="17"/>
        <v>6.9711104768118703E-3</v>
      </c>
      <c r="V59" s="37">
        <f t="shared" si="13"/>
        <v>237.58158937212647</v>
      </c>
    </row>
    <row r="60" spans="2:22" x14ac:dyDescent="0.2">
      <c r="B60" s="50">
        <f t="shared" si="3"/>
        <v>49</v>
      </c>
      <c r="C60" s="53">
        <f t="shared" si="4"/>
        <v>2548.9561829071372</v>
      </c>
      <c r="D60" s="47" cm="1">
        <f t="array" ref="D60">_xlfn.IFS(AND($C$7="Y",B60&lt;C$4),D59,AND(C$7="N",B60&lt;C$4, C$6=0),D59,AND($C$7="Y",B60=C$4),D59+F60-L60+N60-J60,AND($C$7="Y",B60&gt;C$4),(D59-J60)*(1-S60-U60), TRUE, (D59-J60)*(1-S60-U60))</f>
        <v>2330.7014100516321</v>
      </c>
      <c r="E60" s="48">
        <f t="shared" si="5"/>
        <v>0</v>
      </c>
      <c r="F60" s="52">
        <f t="shared" si="14"/>
        <v>0</v>
      </c>
      <c r="G60" s="52">
        <f t="shared" si="18"/>
        <v>0</v>
      </c>
      <c r="H60" s="53">
        <f t="shared" si="6"/>
        <v>241.39462164870591</v>
      </c>
      <c r="I60" s="54">
        <f t="shared" si="30"/>
        <v>49.062358049550589</v>
      </c>
      <c r="J60" s="55">
        <f t="shared" si="29"/>
        <v>191.98784349030979</v>
      </c>
      <c r="K60" s="54" cm="1">
        <f t="array" ref="K60">_xlfn.IFS(AND($C$7="Y",B60=C$4),0,AND($C$7="N",B60=C$4),0,TRUE,((D59-D60)-L60+N60))</f>
        <v>218.25477285550483</v>
      </c>
      <c r="L60" s="51">
        <f t="shared" si="8"/>
        <v>17.876476237656483</v>
      </c>
      <c r="M60" s="51">
        <f t="shared" si="28"/>
        <v>-24.670107851342639</v>
      </c>
      <c r="N60" s="51">
        <f t="shared" si="27"/>
        <v>2.4670107851342635</v>
      </c>
      <c r="O60" s="48">
        <f t="shared" si="26"/>
        <v>267.31713090505542</v>
      </c>
      <c r="P60" s="37">
        <f t="shared" si="9"/>
        <v>198.96448503923401</v>
      </c>
      <c r="Q60" s="56"/>
      <c r="R60" s="56">
        <f t="shared" si="10"/>
        <v>0.12</v>
      </c>
      <c r="S60" s="56">
        <f t="shared" si="11"/>
        <v>1.0596241035318976E-2</v>
      </c>
      <c r="T60" s="56">
        <f t="shared" si="12"/>
        <v>8.0519338057870024E-2</v>
      </c>
      <c r="U60" s="56">
        <f t="shared" si="17"/>
        <v>6.9711104768118703E-3</v>
      </c>
      <c r="V60" s="37">
        <f t="shared" si="13"/>
        <v>233.66423830802705</v>
      </c>
    </row>
    <row r="61" spans="2:22" x14ac:dyDescent="0.2">
      <c r="B61" s="50">
        <f t="shared" si="3"/>
        <v>50</v>
      </c>
      <c r="C61" s="53">
        <f t="shared" si="4"/>
        <v>2316.7467325866501</v>
      </c>
      <c r="D61" s="47" cm="1">
        <f t="array" ref="D61">_xlfn.IFS(AND($C$7="Y",B61&lt;C$4),D60,AND(C$7="N",B61&lt;C$4, C$6=0),D60,AND($C$7="Y",B61=C$4),D60+F61-L61+N61-J61,AND($C$7="Y",B61&gt;C$4),(D60-J61)*(1-S61-U61), TRUE, (D60-J61)*(1-S61-U61))</f>
        <v>2100.8853565000768</v>
      </c>
      <c r="E61" s="48">
        <f t="shared" si="5"/>
        <v>0</v>
      </c>
      <c r="F61" s="52">
        <f t="shared" si="14"/>
        <v>0</v>
      </c>
      <c r="G61" s="52">
        <f t="shared" si="18"/>
        <v>0</v>
      </c>
      <c r="H61" s="53">
        <f t="shared" si="6"/>
        <v>237.1539574770654</v>
      </c>
      <c r="I61" s="54">
        <f t="shared" si="30"/>
        <v>44.5918105164493</v>
      </c>
      <c r="J61" s="55">
        <f t="shared" si="29"/>
        <v>192.24911031007062</v>
      </c>
      <c r="K61" s="54" cm="1">
        <f t="array" ref="K61">_xlfn.IFS(AND($C$7="Y",B61=C$4),0,AND($C$7="N",B61=C$4),0,TRUE,((D60-D61)-L61+N61))</f>
        <v>215.86137608657347</v>
      </c>
      <c r="L61" s="51">
        <f t="shared" si="8"/>
        <v>16.247577017931132</v>
      </c>
      <c r="M61" s="51">
        <f t="shared" si="28"/>
        <v>-22.928995529492404</v>
      </c>
      <c r="N61" s="51">
        <f t="shared" si="27"/>
        <v>2.29289955294924</v>
      </c>
      <c r="O61" s="48">
        <f t="shared" si="26"/>
        <v>260.4531866030228</v>
      </c>
      <c r="P61" s="37">
        <f t="shared" si="9"/>
        <v>192.69084191319274</v>
      </c>
      <c r="Q61" s="56"/>
      <c r="R61" s="56">
        <f t="shared" si="10"/>
        <v>0.12</v>
      </c>
      <c r="S61" s="56">
        <f t="shared" si="11"/>
        <v>1.0596241035318976E-2</v>
      </c>
      <c r="T61" s="56">
        <f t="shared" si="12"/>
        <v>8.0519338057870024E-2</v>
      </c>
      <c r="U61" s="56">
        <f t="shared" si="17"/>
        <v>6.9711104768118703E-3</v>
      </c>
      <c r="V61" s="37">
        <f t="shared" si="13"/>
        <v>229.81605355155534</v>
      </c>
    </row>
    <row r="62" spans="2:22" x14ac:dyDescent="0.2">
      <c r="B62" s="50">
        <f t="shared" si="3"/>
        <v>51</v>
      </c>
      <c r="C62" s="53">
        <f t="shared" si="4"/>
        <v>2088.3615216130675</v>
      </c>
      <c r="D62" s="47" cm="1">
        <f t="array" ref="D62">_xlfn.IFS(AND($C$7="Y",B62&lt;C$4),D61,AND(C$7="N",B62&lt;C$4, C$6=0),D61,AND($C$7="Y",B62=C$4),D61+F62-L62+N62-J62,AND($C$7="Y",B62&gt;C$4),(D61-J62)*(1-S62-U62), TRUE, (D61-J62)*(1-S62-U62))</f>
        <v>1874.8495359915064</v>
      </c>
      <c r="E62" s="48">
        <f t="shared" si="5"/>
        <v>0</v>
      </c>
      <c r="F62" s="52">
        <f t="shared" si="14"/>
        <v>0</v>
      </c>
      <c r="G62" s="52">
        <f t="shared" si="18"/>
        <v>0</v>
      </c>
      <c r="H62" s="53">
        <f t="shared" si="6"/>
        <v>232.98779054357297</v>
      </c>
      <c r="I62" s="54">
        <f t="shared" si="30"/>
        <v>40.194887826390051</v>
      </c>
      <c r="J62" s="55">
        <f t="shared" si="29"/>
        <v>192.51073267500482</v>
      </c>
      <c r="K62" s="54" cm="1">
        <f t="array" ref="K62">_xlfn.IFS(AND($C$7="Y",B62=C$4),0,AND($C$7="N",B62=C$4),0,TRUE,((D61-D62)-L62+N62))</f>
        <v>213.51198562156108</v>
      </c>
      <c r="L62" s="51">
        <f t="shared" si="8"/>
        <v>14.645503919278326</v>
      </c>
      <c r="M62" s="51">
        <f t="shared" si="28"/>
        <v>-21.216690322690095</v>
      </c>
      <c r="N62" s="51">
        <f t="shared" si="27"/>
        <v>2.121669032269009</v>
      </c>
      <c r="O62" s="48">
        <f t="shared" si="26"/>
        <v>253.70687344795112</v>
      </c>
      <c r="P62" s="37">
        <f t="shared" si="9"/>
        <v>186.57191115059308</v>
      </c>
      <c r="Q62" s="56"/>
      <c r="R62" s="56">
        <f t="shared" si="10"/>
        <v>0.12</v>
      </c>
      <c r="S62" s="56">
        <f t="shared" si="11"/>
        <v>1.0596241035318976E-2</v>
      </c>
      <c r="T62" s="56">
        <f t="shared" si="12"/>
        <v>8.0519338057870024E-2</v>
      </c>
      <c r="U62" s="56">
        <f t="shared" si="17"/>
        <v>6.9711104768118703E-3</v>
      </c>
      <c r="V62" s="37">
        <f t="shared" si="13"/>
        <v>226.0358205085704</v>
      </c>
    </row>
    <row r="63" spans="2:22" x14ac:dyDescent="0.2">
      <c r="B63" s="50">
        <f t="shared" si="3"/>
        <v>52</v>
      </c>
      <c r="C63" s="53">
        <f t="shared" si="4"/>
        <v>1863.7330211231526</v>
      </c>
      <c r="D63" s="47" cm="1">
        <f t="array" ref="D63">_xlfn.IFS(AND($C$7="Y",B63&lt;C$4),D62,AND(C$7="N",B63&lt;C$4, C$6=0),D62,AND($C$7="Y",B63=C$4),D62+F63-L63+N63-J63,AND($C$7="Y",B63&gt;C$4),(D62-J63)*(1-S63-U63), TRUE, (D62-J63)*(1-S63-U63))</f>
        <v>1652.5271900687267</v>
      </c>
      <c r="E63" s="48">
        <f t="shared" si="5"/>
        <v>0</v>
      </c>
      <c r="F63" s="52">
        <f t="shared" si="14"/>
        <v>0</v>
      </c>
      <c r="G63" s="52">
        <f t="shared" si="18"/>
        <v>0</v>
      </c>
      <c r="H63" s="53">
        <f t="shared" si="6"/>
        <v>228.89481212905943</v>
      </c>
      <c r="I63" s="54">
        <f t="shared" si="30"/>
        <v>35.870289902958483</v>
      </c>
      <c r="J63" s="55">
        <f t="shared" si="29"/>
        <v>192.7727110689564</v>
      </c>
      <c r="K63" s="54" cm="1">
        <f t="array" ref="K63">_xlfn.IFS(AND($C$7="Y",B63=C$4),0,AND($C$7="N",B63=C$4),0,TRUE,((D62-D63)-L63+N63))</f>
        <v>211.20583105442608</v>
      </c>
      <c r="L63" s="51">
        <f t="shared" si="8"/>
        <v>13.069783242796264</v>
      </c>
      <c r="M63" s="51">
        <f t="shared" si="28"/>
        <v>-19.53268374442613</v>
      </c>
      <c r="N63" s="51">
        <f t="shared" si="27"/>
        <v>1.9532683744426125</v>
      </c>
      <c r="O63" s="48">
        <f t="shared" si="26"/>
        <v>247.07612095738457</v>
      </c>
      <c r="P63" s="37">
        <f t="shared" si="9"/>
        <v>180.60402682327017</v>
      </c>
      <c r="Q63" s="56"/>
      <c r="R63" s="56">
        <f t="shared" si="10"/>
        <v>0.12</v>
      </c>
      <c r="S63" s="56">
        <f t="shared" si="11"/>
        <v>1.0596241035318976E-2</v>
      </c>
      <c r="T63" s="56">
        <f t="shared" si="12"/>
        <v>8.0519338057870024E-2</v>
      </c>
      <c r="U63" s="56">
        <f t="shared" si="17"/>
        <v>6.9711104768118703E-3</v>
      </c>
      <c r="V63" s="37">
        <f t="shared" si="13"/>
        <v>222.32234592277973</v>
      </c>
    </row>
    <row r="64" spans="2:22" x14ac:dyDescent="0.2">
      <c r="B64" s="50">
        <f t="shared" si="3"/>
        <v>53</v>
      </c>
      <c r="C64" s="53">
        <f t="shared" si="4"/>
        <v>1642.7948880845877</v>
      </c>
      <c r="D64" s="47" cm="1">
        <f t="array" ref="D64">_xlfn.IFS(AND($C$7="Y",B64&lt;C$4),D63,AND(C$7="N",B64&lt;C$4, C$6=0),D63,AND($C$7="Y",B64=C$4),D63+F64-L64+N64-J64,AND($C$7="Y",B64&gt;C$4),(D63-J64)*(1-S64-U64), TRUE, (D63-J64)*(1-S64-U64))</f>
        <v>1433.852732567836</v>
      </c>
      <c r="E64" s="48">
        <f t="shared" si="5"/>
        <v>0</v>
      </c>
      <c r="F64" s="52">
        <f t="shared" si="14"/>
        <v>0</v>
      </c>
      <c r="G64" s="52">
        <f t="shared" si="18"/>
        <v>0</v>
      </c>
      <c r="H64" s="53">
        <f t="shared" si="6"/>
        <v>224.87373650508519</v>
      </c>
      <c r="I64" s="54">
        <f t="shared" si="30"/>
        <v>31.616739499545172</v>
      </c>
      <c r="J64" s="55">
        <f t="shared" si="29"/>
        <v>193.03504597642774</v>
      </c>
      <c r="K64" s="54" cm="1">
        <f t="array" ref="K64">_xlfn.IFS(AND($C$7="Y",B64=C$4),0,AND($C$7="N",B64=C$4),0,TRUE,((D63-D64)-L64+N64))</f>
        <v>208.94215551675171</v>
      </c>
      <c r="L64" s="51">
        <f t="shared" si="8"/>
        <v>11.519949607904582</v>
      </c>
      <c r="M64" s="51">
        <f t="shared" si="28"/>
        <v>-17.876476237656483</v>
      </c>
      <c r="N64" s="51">
        <f t="shared" si="27"/>
        <v>1.787647623765648</v>
      </c>
      <c r="O64" s="48">
        <f t="shared" si="26"/>
        <v>240.55889501629687</v>
      </c>
      <c r="P64" s="37">
        <f t="shared" si="9"/>
        <v>174.78360920571438</v>
      </c>
      <c r="Q64" s="56"/>
      <c r="R64" s="56">
        <f t="shared" si="10"/>
        <v>0.12</v>
      </c>
      <c r="S64" s="56">
        <f t="shared" si="11"/>
        <v>1.0596241035318976E-2</v>
      </c>
      <c r="T64" s="56">
        <f t="shared" si="12"/>
        <v>8.0519338057870024E-2</v>
      </c>
      <c r="U64" s="56">
        <f t="shared" si="17"/>
        <v>6.9711104768118703E-3</v>
      </c>
      <c r="V64" s="37">
        <f t="shared" si="13"/>
        <v>218.67445750089064</v>
      </c>
    </row>
    <row r="65" spans="2:22" x14ac:dyDescent="0.2">
      <c r="B65" s="50">
        <f t="shared" si="3"/>
        <v>54</v>
      </c>
      <c r="C65" s="53">
        <f t="shared" si="4"/>
        <v>1425.4819444634202</v>
      </c>
      <c r="D65" s="47" cm="1">
        <f t="array" ref="D65">_xlfn.IFS(AND($C$7="Y",B65&lt;C$4),D64,AND(C$7="N",B65&lt;C$4, C$6=0),D64,AND($C$7="Y",B65=C$4),D64+F65-L65+N65-J65,AND($C$7="Y",B65&gt;C$4),(D64-J65)*(1-S65-U65), TRUE, (D64-J65)*(1-S65-U65))</f>
        <v>1218.7617290234898</v>
      </c>
      <c r="E65" s="48">
        <f t="shared" si="5"/>
        <v>0</v>
      </c>
      <c r="F65" s="52">
        <f t="shared" si="14"/>
        <v>0</v>
      </c>
      <c r="G65" s="52">
        <f t="shared" si="18"/>
        <v>0</v>
      </c>
      <c r="H65" s="53">
        <f t="shared" si="6"/>
        <v>220.92330053005438</v>
      </c>
      <c r="I65" s="54">
        <f t="shared" si="30"/>
        <v>27.432981798274014</v>
      </c>
      <c r="J65" s="55">
        <f t="shared" si="29"/>
        <v>193.29773788258072</v>
      </c>
      <c r="K65" s="54" cm="1">
        <f t="array" ref="K65">_xlfn.IFS(AND($C$7="Y",B65=C$4),0,AND($C$7="N",B65=C$4),0,TRUE,((D64-D65)-L65+N65))</f>
        <v>206.72021543993034</v>
      </c>
      <c r="L65" s="51">
        <f t="shared" si="8"/>
        <v>9.9955458062089715</v>
      </c>
      <c r="M65" s="51">
        <f t="shared" si="28"/>
        <v>-16.247577017931132</v>
      </c>
      <c r="N65" s="51">
        <f t="shared" si="27"/>
        <v>1.6247577017931127</v>
      </c>
      <c r="O65" s="48">
        <f t="shared" si="26"/>
        <v>234.15319723820437</v>
      </c>
      <c r="P65" s="37">
        <f t="shared" si="9"/>
        <v>169.10716275110761</v>
      </c>
      <c r="Q65" s="56"/>
      <c r="R65" s="56">
        <f t="shared" si="10"/>
        <v>0.12</v>
      </c>
      <c r="S65" s="56">
        <f t="shared" si="11"/>
        <v>1.0596241035318976E-2</v>
      </c>
      <c r="T65" s="56">
        <f t="shared" si="12"/>
        <v>8.0519338057870024E-2</v>
      </c>
      <c r="U65" s="56">
        <f t="shared" si="17"/>
        <v>6.9711104768118703E-3</v>
      </c>
      <c r="V65" s="37">
        <f t="shared" si="13"/>
        <v>215.09100354434622</v>
      </c>
    </row>
    <row r="66" spans="2:22" x14ac:dyDescent="0.2">
      <c r="B66" s="50">
        <f t="shared" si="3"/>
        <v>55</v>
      </c>
      <c r="C66" s="53">
        <f t="shared" si="4"/>
        <v>1211.7301567574846</v>
      </c>
      <c r="D66" s="47" cm="1">
        <f t="array" ref="D66">_xlfn.IFS(AND($C$7="Y",B66&lt;C$4),D65,AND(C$7="N",B66&lt;C$4, C$6=0),D65,AND($C$7="Y",B66=C$4),D65+F66-L66+N66-J66,AND($C$7="Y",B66&gt;C$4),(D65-J66)*(1-S66-U66), TRUE, (D65-J66)*(1-S66-U66))</f>
        <v>1007.1908764359587</v>
      </c>
      <c r="E66" s="48">
        <f t="shared" si="5"/>
        <v>0</v>
      </c>
      <c r="F66" s="52">
        <f t="shared" si="14"/>
        <v>0</v>
      </c>
      <c r="G66" s="52">
        <f t="shared" si="18"/>
        <v>0</v>
      </c>
      <c r="H66" s="53">
        <f t="shared" si="6"/>
        <v>217.04226325242286</v>
      </c>
      <c r="I66" s="54">
        <f t="shared" si="30"/>
        <v>23.31778401597639</v>
      </c>
      <c r="J66" s="55">
        <f t="shared" si="29"/>
        <v>193.56078727323694</v>
      </c>
      <c r="K66" s="54" cm="1">
        <f t="array" ref="K66">_xlfn.IFS(AND($C$7="Y",B66=C$4),0,AND($C$7="N",B66=C$4),0,TRUE,((D65-D66)-L66+N66))</f>
        <v>204.53928032152598</v>
      </c>
      <c r="L66" s="51">
        <f t="shared" si="8"/>
        <v>8.4961226579330003</v>
      </c>
      <c r="M66" s="51">
        <f t="shared" si="28"/>
        <v>-14.645503919278326</v>
      </c>
      <c r="N66" s="51">
        <f t="shared" si="27"/>
        <v>1.4645503919278322</v>
      </c>
      <c r="O66" s="48">
        <f t="shared" si="26"/>
        <v>227.85706433750238</v>
      </c>
      <c r="P66" s="37">
        <f t="shared" si="9"/>
        <v>163.57127411486553</v>
      </c>
      <c r="Q66" s="56"/>
      <c r="R66" s="56">
        <f t="shared" si="10"/>
        <v>0.12</v>
      </c>
      <c r="S66" s="56">
        <f t="shared" si="11"/>
        <v>1.0596241035318976E-2</v>
      </c>
      <c r="T66" s="56">
        <f t="shared" si="12"/>
        <v>8.0519338057870024E-2</v>
      </c>
      <c r="U66" s="56">
        <f t="shared" si="17"/>
        <v>6.9711104768118703E-3</v>
      </c>
      <c r="V66" s="37">
        <f t="shared" si="13"/>
        <v>211.57085258753114</v>
      </c>
    </row>
    <row r="67" spans="2:22" x14ac:dyDescent="0.2">
      <c r="B67" s="50">
        <f t="shared" si="3"/>
        <v>56</v>
      </c>
      <c r="C67" s="53">
        <f t="shared" si="4"/>
        <v>1001.4766158893663</v>
      </c>
      <c r="D67" s="47" cm="1">
        <f t="array" ref="D67">_xlfn.IFS(AND($C$7="Y",B67&lt;C$4),D66,AND(C$7="N",B67&lt;C$4, C$6=0),D66,AND($C$7="Y",B67=C$4),D66+F67-L67+N67-J67,AND($C$7="Y",B67&gt;C$4),(D66-J67)*(1-S67-U67), TRUE, (D66-J67)*(1-S67-U67))</f>
        <v>799.07798339362375</v>
      </c>
      <c r="E67" s="48">
        <f t="shared" si="5"/>
        <v>0</v>
      </c>
      <c r="F67" s="52">
        <f t="shared" si="14"/>
        <v>0</v>
      </c>
      <c r="G67" s="52">
        <f t="shared" si="18"/>
        <v>0</v>
      </c>
      <c r="H67" s="53">
        <f t="shared" si="6"/>
        <v>213.22940552087934</v>
      </c>
      <c r="I67" s="54">
        <f t="shared" si="30"/>
        <v>19.269935017087334</v>
      </c>
      <c r="J67" s="55">
        <f t="shared" si="29"/>
        <v>193.82419463487986</v>
      </c>
      <c r="K67" s="54" cm="1">
        <f t="array" ref="K67">_xlfn.IFS(AND($C$7="Y",B67=C$4),0,AND($C$7="N",B67=C$4),0,TRUE,((D66-D67)-L67+N67))</f>
        <v>202.39863249574248</v>
      </c>
      <c r="L67" s="51">
        <f t="shared" si="8"/>
        <v>7.0212388708720415</v>
      </c>
      <c r="M67" s="51">
        <f t="shared" si="28"/>
        <v>-13.069783242796264</v>
      </c>
      <c r="N67" s="51">
        <f t="shared" si="27"/>
        <v>1.306978324279626</v>
      </c>
      <c r="O67" s="48">
        <f t="shared" si="26"/>
        <v>221.66856751282981</v>
      </c>
      <c r="P67" s="37">
        <f t="shared" si="9"/>
        <v>158.17261022457348</v>
      </c>
      <c r="Q67" s="56"/>
      <c r="R67" s="56">
        <f t="shared" si="10"/>
        <v>0.12</v>
      </c>
      <c r="S67" s="56">
        <f t="shared" si="11"/>
        <v>1.0596241035318976E-2</v>
      </c>
      <c r="T67" s="56">
        <f t="shared" si="12"/>
        <v>8.0519338057870024E-2</v>
      </c>
      <c r="U67" s="56">
        <f t="shared" si="17"/>
        <v>6.9711104768118703E-3</v>
      </c>
      <c r="V67" s="37">
        <f t="shared" si="13"/>
        <v>208.11289304233492</v>
      </c>
    </row>
    <row r="68" spans="2:22" x14ac:dyDescent="0.2">
      <c r="B68" s="50">
        <f t="shared" si="3"/>
        <v>57</v>
      </c>
      <c r="C68" s="53">
        <f t="shared" si="4"/>
        <v>794.65951745258928</v>
      </c>
      <c r="D68" s="47" cm="1">
        <f t="array" ref="D68">_xlfn.IFS(AND($C$7="Y",B68&lt;C$4),D67,AND(C$7="N",B68&lt;C$4, C$6=0),D67,AND($C$7="Y",B68=C$4),D67+F68-L68+N68-J68,AND($C$7="Y",B68&gt;C$4),(D67-J68)*(1-S68-U68), TRUE, (D67-J68)*(1-S68-U68))</f>
        <v>594.36195054466839</v>
      </c>
      <c r="E68" s="48">
        <f t="shared" si="5"/>
        <v>0</v>
      </c>
      <c r="F68" s="52">
        <f t="shared" si="14"/>
        <v>0</v>
      </c>
      <c r="G68" s="52">
        <f t="shared" si="18"/>
        <v>0</v>
      </c>
      <c r="H68" s="53">
        <f t="shared" si="6"/>
        <v>209.48352960137163</v>
      </c>
      <c r="I68" s="54">
        <f t="shared" si="30"/>
        <v>15.288244933341991</v>
      </c>
      <c r="J68" s="55">
        <f t="shared" si="29"/>
        <v>194.08796045465448</v>
      </c>
      <c r="K68" s="54" cm="1">
        <f t="array" ref="K68">_xlfn.IFS(AND($C$7="Y",B68=C$4),0,AND($C$7="N",B68=C$4),0,TRUE,((D67-D68)-L68+N68))</f>
        <v>200.29756690792084</v>
      </c>
      <c r="L68" s="51">
        <f t="shared" si="8"/>
        <v>5.5704609018249922</v>
      </c>
      <c r="M68" s="51">
        <f t="shared" si="28"/>
        <v>-11.519949607904582</v>
      </c>
      <c r="N68" s="51">
        <f t="shared" si="27"/>
        <v>1.151994960790458</v>
      </c>
      <c r="O68" s="48">
        <f t="shared" si="26"/>
        <v>215.58581184126282</v>
      </c>
      <c r="P68" s="37">
        <f t="shared" si="9"/>
        <v>152.90791639522209</v>
      </c>
      <c r="Q68" s="56"/>
      <c r="R68" s="56">
        <f t="shared" si="10"/>
        <v>0.12</v>
      </c>
      <c r="S68" s="56">
        <f t="shared" si="11"/>
        <v>1.0596241035318976E-2</v>
      </c>
      <c r="T68" s="56">
        <f t="shared" si="12"/>
        <v>8.0519338057870024E-2</v>
      </c>
      <c r="U68" s="56">
        <f t="shared" si="17"/>
        <v>6.9711104768118703E-3</v>
      </c>
      <c r="V68" s="37">
        <f t="shared" si="13"/>
        <v>204.71603284895536</v>
      </c>
    </row>
    <row r="69" spans="2:22" x14ac:dyDescent="0.2">
      <c r="B69" s="50">
        <f t="shared" si="3"/>
        <v>58</v>
      </c>
      <c r="C69" s="53">
        <f t="shared" si="4"/>
        <v>591.21814230482903</v>
      </c>
      <c r="D69" s="47" cm="1">
        <f t="array" ref="D69">_xlfn.IFS(AND($C$7="Y",B69&lt;C$4),D68,AND(C$7="N",B69&lt;C$4, C$6=0),D68,AND($C$7="Y",B69=C$4),D68+F69-L69+N69-J69,AND($C$7="Y",B69&gt;C$4),(D68-J69)*(1-S69-U69), TRUE, (D68-J69)*(1-S69-U69))</f>
        <v>392.98275141182728</v>
      </c>
      <c r="E69" s="48">
        <f t="shared" si="5"/>
        <v>0</v>
      </c>
      <c r="F69" s="52">
        <f t="shared" si="14"/>
        <v>0</v>
      </c>
      <c r="G69" s="52">
        <f t="shared" si="18"/>
        <v>0</v>
      </c>
      <c r="H69" s="53">
        <f t="shared" si="6"/>
        <v>205.80345880086296</v>
      </c>
      <c r="I69" s="54">
        <f t="shared" si="30"/>
        <v>11.371544790153076</v>
      </c>
      <c r="J69" s="55">
        <f t="shared" si="29"/>
        <v>194.35208522036902</v>
      </c>
      <c r="K69" s="54" cm="1">
        <f t="array" ref="K69">_xlfn.IFS(AND($C$7="Y",B69=C$4),0,AND($C$7="N",B69=C$4),0,TRUE,((D68-D69)-L69+N69))</f>
        <v>198.23539089300172</v>
      </c>
      <c r="L69" s="51">
        <f t="shared" si="8"/>
        <v>4.1433628204602764</v>
      </c>
      <c r="M69" s="51">
        <f t="shared" si="28"/>
        <v>-9.9955458062089715</v>
      </c>
      <c r="N69" s="51">
        <f t="shared" si="27"/>
        <v>0.99955458062089697</v>
      </c>
      <c r="O69" s="48">
        <f t="shared" si="26"/>
        <v>209.6069356831548</v>
      </c>
      <c r="P69" s="37">
        <f t="shared" si="9"/>
        <v>147.77401448868579</v>
      </c>
      <c r="Q69" s="56"/>
      <c r="R69" s="56">
        <f t="shared" si="10"/>
        <v>0.12</v>
      </c>
      <c r="S69" s="56">
        <f t="shared" si="11"/>
        <v>1.0596241035318976E-2</v>
      </c>
      <c r="T69" s="56">
        <f t="shared" si="12"/>
        <v>8.0519338057870024E-2</v>
      </c>
      <c r="U69" s="56">
        <f t="shared" si="17"/>
        <v>6.9711104768118703E-3</v>
      </c>
      <c r="V69" s="37">
        <f t="shared" si="13"/>
        <v>201.37919913284111</v>
      </c>
    </row>
    <row r="70" spans="2:22" x14ac:dyDescent="0.2">
      <c r="B70" s="50">
        <f t="shared" si="3"/>
        <v>59</v>
      </c>
      <c r="C70" s="53">
        <f t="shared" si="4"/>
        <v>391.09283750204725</v>
      </c>
      <c r="D70" s="47" cm="1">
        <f t="array" ref="D70">_xlfn.IFS(AND($C$7="Y",B70&lt;C$4),D69,AND(C$7="N",B70&lt;C$4, C$6=0),D69,AND($C$7="Y",B70=C$4),D69+F70-L70+N70-J70,AND($C$7="Y",B70&gt;C$4),(D69-J70)*(1-S70-U70), TRUE, (D69-J70)*(1-S70-U70))</f>
        <v>194.88141354417098</v>
      </c>
      <c r="E70" s="48">
        <f t="shared" si="5"/>
        <v>0</v>
      </c>
      <c r="F70" s="52">
        <f t="shared" si="14"/>
        <v>0</v>
      </c>
      <c r="G70" s="52">
        <f t="shared" si="18"/>
        <v>0</v>
      </c>
      <c r="H70" s="53">
        <f t="shared" si="6"/>
        <v>202.18803709769642</v>
      </c>
      <c r="I70" s="54">
        <f t="shared" si="30"/>
        <v>7.518686139551825</v>
      </c>
      <c r="J70" s="55">
        <f t="shared" si="29"/>
        <v>194.61656942049524</v>
      </c>
      <c r="K70" s="54" cm="1">
        <f t="array" ref="K70">_xlfn.IFS(AND($C$7="Y",B70=C$4),0,AND($C$7="N",B70=C$4),0,TRUE,((D69-D70)-L70+N70))</f>
        <v>196.21142395787626</v>
      </c>
      <c r="L70" s="51">
        <f t="shared" si="8"/>
        <v>2.739526175573344</v>
      </c>
      <c r="M70" s="51">
        <f t="shared" si="28"/>
        <v>-8.4961226579330003</v>
      </c>
      <c r="N70" s="51">
        <f t="shared" si="27"/>
        <v>0.84961226579329985</v>
      </c>
      <c r="O70" s="48">
        <f t="shared" si="26"/>
        <v>203.73011009742808</v>
      </c>
      <c r="P70" s="37">
        <f t="shared" si="9"/>
        <v>142.76780111639965</v>
      </c>
      <c r="Q70" s="56"/>
      <c r="R70" s="56">
        <f t="shared" si="10"/>
        <v>0.12</v>
      </c>
      <c r="S70" s="56">
        <f t="shared" si="11"/>
        <v>1.0596241035318976E-2</v>
      </c>
      <c r="T70" s="56">
        <f t="shared" si="12"/>
        <v>8.0519338057870024E-2</v>
      </c>
      <c r="U70" s="56">
        <f t="shared" si="17"/>
        <v>6.9711104768118703E-3</v>
      </c>
      <c r="V70" s="37">
        <f t="shared" si="13"/>
        <v>198.1013378676563</v>
      </c>
    </row>
    <row r="71" spans="2:22" x14ac:dyDescent="0.2">
      <c r="B71" s="50">
        <f t="shared" si="3"/>
        <v>60</v>
      </c>
      <c r="C71" s="53">
        <f t="shared" si="4"/>
        <v>194.22499756756451</v>
      </c>
      <c r="D71" s="47" cm="1">
        <f t="array" ref="D71">_xlfn.IFS(AND($C$7="Y",B71&lt;C$4),D70,AND(C$7="N",B71&lt;C$4, C$6=0),D70,AND($C$7="Y",B71=C$4),D70+F71-L71+N71-J71,AND($C$7="Y",B71&gt;C$4),(D70-J71)*(1-S71-U71), TRUE, (D70-J71)*(1-S71-U71))</f>
        <v>1.0610517802700493E-12</v>
      </c>
      <c r="E71" s="48">
        <f t="shared" si="5"/>
        <v>0</v>
      </c>
      <c r="F71" s="52">
        <f t="shared" si="14"/>
        <v>0</v>
      </c>
      <c r="G71" s="52">
        <f t="shared" si="18"/>
        <v>0</v>
      </c>
      <c r="H71" s="53">
        <f t="shared" si="6"/>
        <v>198.63612877845426</v>
      </c>
      <c r="I71" s="54">
        <f t="shared" si="30"/>
        <v>3.7285406995771964</v>
      </c>
      <c r="J71" s="55">
        <f t="shared" si="29"/>
        <v>194.8814135441699</v>
      </c>
      <c r="K71" s="54" cm="1">
        <f t="array" ref="K71">_xlfn.IFS(AND($C$7="Y",B71=C$4),0,AND($C$7="N",B71=C$4),0,TRUE,((D70-D71)-L71+N71))</f>
        <v>194.22499756756346</v>
      </c>
      <c r="L71" s="51">
        <f t="shared" si="8"/>
        <v>1.358539863693677</v>
      </c>
      <c r="M71" s="51">
        <f t="shared" si="28"/>
        <v>-7.0212388708720415</v>
      </c>
      <c r="N71" s="51">
        <f t="shared" si="27"/>
        <v>0.70212388708720397</v>
      </c>
      <c r="O71" s="48">
        <f t="shared" si="26"/>
        <v>197.95353826714066</v>
      </c>
      <c r="P71" s="37">
        <f t="shared" si="9"/>
        <v>137.88624588422587</v>
      </c>
      <c r="Q71" s="56"/>
      <c r="R71" s="56">
        <f t="shared" si="10"/>
        <v>0.12</v>
      </c>
      <c r="S71" s="56">
        <f t="shared" si="11"/>
        <v>1.0596241035318976E-2</v>
      </c>
      <c r="T71" s="56">
        <f t="shared" si="12"/>
        <v>8.0519338057870024E-2</v>
      </c>
      <c r="U71" s="56">
        <f t="shared" si="17"/>
        <v>6.9711104768118703E-3</v>
      </c>
      <c r="V71" s="37">
        <f t="shared" si="13"/>
        <v>194.88141354416993</v>
      </c>
    </row>
    <row r="72" spans="2:22" x14ac:dyDescent="0.2">
      <c r="B72" s="50">
        <f t="shared" si="3"/>
        <v>61</v>
      </c>
      <c r="C72" s="53">
        <f t="shared" si="4"/>
        <v>0.55704609018355267</v>
      </c>
      <c r="D72" s="47" t="e" cm="1">
        <f t="array" ref="D72">_xlfn.IFS(AND($C$7="Y",B72&lt;C$4),D71,AND(C$7="N",B72&lt;C$4, C$6=0),D71,AND($C$7="Y",B72=C$4),D71+F72-L72+N72-J72,AND($C$7="Y",B72&gt;C$4),(D71-J72)*(1-S72-U72), TRUE, (D71-J72)*(1-S72-U72))</f>
        <v>#DIV/0!</v>
      </c>
      <c r="E72" s="48">
        <f t="shared" si="5"/>
        <v>0</v>
      </c>
      <c r="F72" s="52">
        <f t="shared" si="14"/>
        <v>0</v>
      </c>
      <c r="G72" s="52">
        <f t="shared" si="18"/>
        <v>0</v>
      </c>
      <c r="H72" s="53" t="e">
        <f t="shared" si="6"/>
        <v>#DIV/0!</v>
      </c>
      <c r="I72" s="54">
        <f t="shared" si="30"/>
        <v>2.0300421036298718E-14</v>
      </c>
      <c r="J72" s="55" t="e">
        <f t="shared" si="29"/>
        <v>#DIV/0!</v>
      </c>
      <c r="K72" s="54" t="e" cm="1">
        <f t="array" ref="K72">_xlfn.IFS(AND($C$7="Y",B72=C$4),0,AND($C$7="N",B72=C$4),0,TRUE,((D71-D72)-L72+N72))</f>
        <v>#DIV/0!</v>
      </c>
      <c r="L72" s="51">
        <f t="shared" si="8"/>
        <v>7.3967091818804278E-15</v>
      </c>
      <c r="M72" s="51">
        <f t="shared" si="28"/>
        <v>-5.5704609018249922</v>
      </c>
      <c r="N72" s="51">
        <f t="shared" si="27"/>
        <v>0.55704609018249907</v>
      </c>
      <c r="O72" s="48" t="e">
        <f t="shared" si="26"/>
        <v>#DIV/0!</v>
      </c>
      <c r="P72" s="37" t="e">
        <f t="shared" si="9"/>
        <v>#DIV/0!</v>
      </c>
      <c r="Q72" s="56"/>
      <c r="R72" s="56">
        <f t="shared" si="10"/>
        <v>0.12</v>
      </c>
      <c r="S72" s="56">
        <f t="shared" si="11"/>
        <v>1.0596241035318976E-2</v>
      </c>
      <c r="T72" s="56">
        <f t="shared" si="12"/>
        <v>8.0519338057870024E-2</v>
      </c>
      <c r="U72" s="56">
        <f t="shared" si="17"/>
        <v>6.9711104768118703E-3</v>
      </c>
      <c r="V72" s="37" t="e">
        <f t="shared" si="13"/>
        <v>#DIV/0!</v>
      </c>
    </row>
    <row r="73" spans="2:22" x14ac:dyDescent="0.2">
      <c r="B73" s="50">
        <f t="shared" si="3"/>
        <v>62</v>
      </c>
      <c r="C73" s="53" t="e">
        <f t="shared" si="4"/>
        <v>#DIV/0!</v>
      </c>
      <c r="D73" s="47" t="e" cm="1">
        <f t="array" ref="D73">_xlfn.IFS(AND($C$7="Y",B73&lt;C$4),D72,AND(C$7="N",B73&lt;C$4, C$6=0),D72,AND($C$7="Y",B73=C$4),D72+F73-L73+N73-J73,AND($C$7="Y",B73&gt;C$4),(D72-J73)*(1-S73-U73), TRUE, (D72-J73)*(1-S73-U73))</f>
        <v>#DIV/0!</v>
      </c>
      <c r="E73" s="48">
        <f t="shared" si="5"/>
        <v>0</v>
      </c>
      <c r="F73" s="52">
        <f t="shared" si="14"/>
        <v>0</v>
      </c>
      <c r="G73" s="52">
        <f t="shared" si="18"/>
        <v>0</v>
      </c>
      <c r="H73" s="53" t="e">
        <f t="shared" si="6"/>
        <v>#DIV/0!</v>
      </c>
      <c r="I73" s="54" t="e">
        <f t="shared" si="30"/>
        <v>#DIV/0!</v>
      </c>
      <c r="J73" s="55" t="e">
        <f t="shared" si="29"/>
        <v>#DIV/0!</v>
      </c>
      <c r="K73" s="54" t="e" cm="1">
        <f t="array" ref="K73">_xlfn.IFS(AND($C$7="Y",B73=C$4),0,AND($C$7="N",B73=C$4),0,TRUE,((D72-D73)-L73+N73))</f>
        <v>#DIV/0!</v>
      </c>
      <c r="L73" s="51" t="e">
        <f t="shared" si="8"/>
        <v>#DIV/0!</v>
      </c>
      <c r="M73" s="51">
        <f t="shared" si="28"/>
        <v>-4.1433628204602764</v>
      </c>
      <c r="N73" s="51">
        <f t="shared" si="27"/>
        <v>0.41433628204602757</v>
      </c>
      <c r="O73" s="48" t="e">
        <f t="shared" si="26"/>
        <v>#DIV/0!</v>
      </c>
      <c r="P73" s="37" t="e">
        <f t="shared" si="9"/>
        <v>#DIV/0!</v>
      </c>
      <c r="Q73" s="56"/>
      <c r="R73" s="56">
        <f t="shared" si="10"/>
        <v>0.12</v>
      </c>
      <c r="S73" s="56">
        <f t="shared" si="11"/>
        <v>1.0596241035318976E-2</v>
      </c>
      <c r="T73" s="56">
        <f t="shared" si="12"/>
        <v>8.0519338057870024E-2</v>
      </c>
      <c r="U73" s="56">
        <f t="shared" si="17"/>
        <v>6.9711104768118703E-3</v>
      </c>
      <c r="V73" s="37" t="e">
        <f t="shared" si="13"/>
        <v>#DIV/0!</v>
      </c>
    </row>
    <row r="74" spans="2:22" x14ac:dyDescent="0.2">
      <c r="B74" s="50">
        <f t="shared" si="3"/>
        <v>63</v>
      </c>
      <c r="C74" s="53" t="e">
        <f t="shared" si="4"/>
        <v>#DIV/0!</v>
      </c>
      <c r="D74" s="47" t="e" cm="1">
        <f t="array" ref="D74">_xlfn.IFS(AND($C$7="Y",B74&lt;C$4),D73,AND(C$7="N",B74&lt;C$4, C$6=0),D73,AND($C$7="Y",B74=C$4),D73+F74-L74+N74-J74,AND($C$7="Y",B74&gt;C$4),(D73-J74)*(1-S74-U74), TRUE, (D73-J74)*(1-S74-U74))</f>
        <v>#DIV/0!</v>
      </c>
      <c r="E74" s="48">
        <f t="shared" si="5"/>
        <v>0</v>
      </c>
      <c r="F74" s="52">
        <f t="shared" si="14"/>
        <v>0</v>
      </c>
      <c r="G74" s="52">
        <f t="shared" si="18"/>
        <v>0</v>
      </c>
      <c r="H74" s="53" t="e">
        <f t="shared" si="6"/>
        <v>#DIV/0!</v>
      </c>
      <c r="I74" s="54" t="e">
        <f t="shared" si="30"/>
        <v>#DIV/0!</v>
      </c>
      <c r="J74" s="55" t="e">
        <f t="shared" si="29"/>
        <v>#DIV/0!</v>
      </c>
      <c r="K74" s="54" t="e" cm="1">
        <f t="array" ref="K74">_xlfn.IFS(AND($C$7="Y",B74=C$4),0,AND($C$7="N",B74=C$4),0,TRUE,((D73-D74)-L74+N74))</f>
        <v>#DIV/0!</v>
      </c>
      <c r="L74" s="51" t="e">
        <f t="shared" si="8"/>
        <v>#DIV/0!</v>
      </c>
      <c r="M74" s="51">
        <f t="shared" si="28"/>
        <v>-2.739526175573344</v>
      </c>
      <c r="N74" s="51">
        <f t="shared" si="27"/>
        <v>0.27395261755733435</v>
      </c>
      <c r="O74" s="48" t="e">
        <f t="shared" si="26"/>
        <v>#DIV/0!</v>
      </c>
      <c r="P74" s="37" t="e">
        <f t="shared" si="9"/>
        <v>#DIV/0!</v>
      </c>
      <c r="Q74" s="56"/>
      <c r="R74" s="56">
        <f t="shared" si="10"/>
        <v>0.12</v>
      </c>
      <c r="S74" s="56">
        <f t="shared" si="11"/>
        <v>1.0596241035318976E-2</v>
      </c>
      <c r="T74" s="56">
        <f t="shared" si="12"/>
        <v>8.0519338057870024E-2</v>
      </c>
      <c r="U74" s="56">
        <f t="shared" si="17"/>
        <v>6.9711104768118703E-3</v>
      </c>
      <c r="V74" s="37" t="e">
        <f t="shared" si="13"/>
        <v>#DIV/0!</v>
      </c>
    </row>
    <row r="75" spans="2:22" x14ac:dyDescent="0.2">
      <c r="B75" s="50">
        <f t="shared" si="3"/>
        <v>64</v>
      </c>
      <c r="C75" s="53" t="e">
        <f t="shared" si="4"/>
        <v>#DIV/0!</v>
      </c>
      <c r="D75" s="47" t="e" cm="1">
        <f t="array" ref="D75">_xlfn.IFS(AND($C$7="Y",B75&lt;C$4),D74,AND(C$7="N",B75&lt;C$4, C$6=0),D74,AND($C$7="Y",B75=C$4),D74+F75-L75+N75-J75,AND($C$7="Y",B75&gt;C$4),(D74-J75)*(1-S75-U75), TRUE, (D74-J75)*(1-S75-U75))</f>
        <v>#DIV/0!</v>
      </c>
      <c r="E75" s="48">
        <f t="shared" si="5"/>
        <v>0</v>
      </c>
      <c r="F75" s="52">
        <f t="shared" si="14"/>
        <v>0</v>
      </c>
      <c r="G75" s="52">
        <f t="shared" si="18"/>
        <v>0</v>
      </c>
      <c r="H75" s="53" t="e">
        <f t="shared" si="6"/>
        <v>#DIV/0!</v>
      </c>
      <c r="I75" s="54" t="e">
        <f t="shared" si="30"/>
        <v>#DIV/0!</v>
      </c>
      <c r="J75" s="55" t="e">
        <f t="shared" si="29"/>
        <v>#DIV/0!</v>
      </c>
      <c r="K75" s="54" t="e" cm="1">
        <f t="array" ref="K75">_xlfn.IFS(AND($C$7="Y",B75=C$4),0,AND($C$7="N",B75=C$4),0,TRUE,((D74-D75)-L75+N75))</f>
        <v>#DIV/0!</v>
      </c>
      <c r="L75" s="51" t="e">
        <f t="shared" si="8"/>
        <v>#DIV/0!</v>
      </c>
      <c r="M75" s="51">
        <f t="shared" si="28"/>
        <v>-1.358539863693677</v>
      </c>
      <c r="N75" s="51">
        <f t="shared" si="27"/>
        <v>0.13585398636936766</v>
      </c>
      <c r="O75" s="48" t="e">
        <f t="shared" si="26"/>
        <v>#DIV/0!</v>
      </c>
      <c r="P75" s="37" t="e">
        <f t="shared" si="9"/>
        <v>#DIV/0!</v>
      </c>
      <c r="Q75" s="56"/>
      <c r="R75" s="56">
        <f t="shared" si="10"/>
        <v>0.12</v>
      </c>
      <c r="S75" s="56">
        <f t="shared" si="11"/>
        <v>1.0596241035318976E-2</v>
      </c>
      <c r="T75" s="56">
        <f t="shared" si="12"/>
        <v>8.0519338057870024E-2</v>
      </c>
      <c r="U75" s="56">
        <f t="shared" si="17"/>
        <v>6.9711104768118703E-3</v>
      </c>
      <c r="V75" s="37" t="e">
        <f t="shared" si="13"/>
        <v>#DIV/0!</v>
      </c>
    </row>
    <row r="76" spans="2:22" x14ac:dyDescent="0.2">
      <c r="B76" s="50">
        <f t="shared" si="3"/>
        <v>65</v>
      </c>
      <c r="C76" s="53" t="e">
        <f t="shared" si="4"/>
        <v>#DIV/0!</v>
      </c>
      <c r="D76" s="47" t="e" cm="1">
        <f t="array" ref="D76">_xlfn.IFS(AND($C$7="Y",B76&lt;C$4),D75,AND(C$7="N",B76&lt;C$4, C$6=0),D75,AND($C$7="Y",B76=C$4),D75+F76-L76+N76-J76,AND($C$7="Y",B76&gt;C$4),(D75-J76)*(1-S76-U76), TRUE, (D75-J76)*(1-S76-U76))</f>
        <v>#DIV/0!</v>
      </c>
      <c r="E76" s="48">
        <f t="shared" si="5"/>
        <v>0</v>
      </c>
      <c r="F76" s="52">
        <f t="shared" si="14"/>
        <v>0</v>
      </c>
      <c r="G76" s="52">
        <f t="shared" si="18"/>
        <v>0</v>
      </c>
      <c r="H76" s="53" t="e">
        <f t="shared" si="6"/>
        <v>#DIV/0!</v>
      </c>
      <c r="I76" s="54" t="e">
        <f t="shared" si="30"/>
        <v>#DIV/0!</v>
      </c>
      <c r="J76" s="55" t="e">
        <f t="shared" si="29"/>
        <v>#DIV/0!</v>
      </c>
      <c r="K76" s="54" t="e" cm="1">
        <f t="array" ref="K76">_xlfn.IFS(AND($C$7="Y",B76=C$4),0,AND($C$7="N",B76=C$4),0,TRUE,((D75-D76)-L76+N76))</f>
        <v>#DIV/0!</v>
      </c>
      <c r="L76" s="51" t="e">
        <f t="shared" si="8"/>
        <v>#DIV/0!</v>
      </c>
      <c r="M76" s="51">
        <f t="shared" si="28"/>
        <v>-7.3967091818804278E-15</v>
      </c>
      <c r="N76" s="51">
        <f t="shared" si="27"/>
        <v>7.3967091818804259E-16</v>
      </c>
      <c r="O76" s="48" t="e">
        <f t="shared" si="26"/>
        <v>#DIV/0!</v>
      </c>
      <c r="P76" s="37" t="e">
        <f t="shared" si="9"/>
        <v>#DIV/0!</v>
      </c>
      <c r="Q76" s="56"/>
      <c r="R76" s="56">
        <f t="shared" si="10"/>
        <v>0.12</v>
      </c>
      <c r="S76" s="56">
        <f t="shared" si="11"/>
        <v>1.0596241035318976E-2</v>
      </c>
      <c r="T76" s="56">
        <f t="shared" si="12"/>
        <v>8.0519338057870024E-2</v>
      </c>
      <c r="U76" s="56">
        <f t="shared" si="17"/>
        <v>6.9711104768118703E-3</v>
      </c>
      <c r="V76" s="37" t="e">
        <f t="shared" si="13"/>
        <v>#DIV/0!</v>
      </c>
    </row>
    <row r="77" spans="2:22" x14ac:dyDescent="0.2">
      <c r="B77" s="50">
        <f t="shared" ref="B77:B140" si="31">B76+1</f>
        <v>66</v>
      </c>
      <c r="C77" s="53" t="e">
        <f t="shared" ref="C77:C140" si="32">IF(B77&lt;C$4,C$1,D76-L77+N77)</f>
        <v>#DIV/0!</v>
      </c>
      <c r="D77" s="47" t="e" cm="1">
        <f t="array" ref="D77">_xlfn.IFS(AND($C$7="Y",B77&lt;C$4),D76,AND(C$7="N",B77&lt;C$4, C$6=0),D76,AND($C$7="Y",B77=C$4),D76+F77-L77+N77-J77,AND($C$7="Y",B77&gt;C$4),(D76-J77)*(1-S77-U77), TRUE, (D76-J77)*(1-S77-U77))</f>
        <v>#DIV/0!</v>
      </c>
      <c r="E77" s="48">
        <f t="shared" ref="E77:E140" si="33">IF(AND($C$7="Y",B77&lt;=$C$4),D76*C$2/12-G77,0)</f>
        <v>0</v>
      </c>
      <c r="F77" s="52">
        <f t="shared" si="14"/>
        <v>0</v>
      </c>
      <c r="G77" s="52">
        <f t="shared" si="18"/>
        <v>0</v>
      </c>
      <c r="H77" s="53" t="e">
        <f t="shared" ref="H77:H140" si="34">IF(AND($B77&lt;=$C$4,C$7="Y"),0,IF(AND(C$7="N",C$4&gt;0,B77&lt;=C$4),0,(D76)*C$2/12/(1-(1/(1+C$2/12))^(C$3+C$4-B77+1))))</f>
        <v>#DIV/0!</v>
      </c>
      <c r="I77" s="54" t="e">
        <f t="shared" si="30"/>
        <v>#DIV/0!</v>
      </c>
      <c r="J77" s="55" t="e">
        <f t="shared" si="29"/>
        <v>#DIV/0!</v>
      </c>
      <c r="K77" s="54" t="e" cm="1">
        <f t="array" ref="K77">_xlfn.IFS(AND($C$7="Y",B77=C$4),0,AND($C$7="N",B77=C$4),0,TRUE,((D76-D77)-L77+N77))</f>
        <v>#DIV/0!</v>
      </c>
      <c r="L77" s="51" t="e">
        <f t="shared" ref="L77:L140" si="35">IF(AND(C$7="Y",$B77&lt;=$C$4),0,IF(AND(C$7="N",C$4&gt;0,B77&lt;=C$4),0,U77*D76))</f>
        <v>#DIV/0!</v>
      </c>
      <c r="M77" s="51">
        <f t="shared" si="28"/>
        <v>0</v>
      </c>
      <c r="N77" s="51">
        <f t="shared" si="27"/>
        <v>0</v>
      </c>
      <c r="O77" s="48" t="e">
        <f t="shared" si="26"/>
        <v>#DIV/0!</v>
      </c>
      <c r="P77" s="37" t="e">
        <f t="shared" ref="P77:P140" si="36">O77*(1/((1+P$9)^(B77/12)))</f>
        <v>#DIV/0!</v>
      </c>
      <c r="Q77" s="56"/>
      <c r="R77" s="56">
        <f t="shared" ref="R77:R140" si="37">R$9</f>
        <v>0.12</v>
      </c>
      <c r="S77" s="56">
        <f t="shared" ref="S77:S140" si="38">1-(1-R77)^(1/12)</f>
        <v>1.0596241035318976E-2</v>
      </c>
      <c r="T77" s="56">
        <f t="shared" ref="T77:T140" si="39">T$9</f>
        <v>8.0519338057870024E-2</v>
      </c>
      <c r="U77" s="56">
        <f t="shared" si="17"/>
        <v>6.9711104768118703E-3</v>
      </c>
      <c r="V77" s="37" t="e">
        <f t="shared" ref="V77:V140" si="40">D76-D77</f>
        <v>#DIV/0!</v>
      </c>
    </row>
    <row r="78" spans="2:22" x14ac:dyDescent="0.2">
      <c r="B78" s="50">
        <f t="shared" si="31"/>
        <v>67</v>
      </c>
      <c r="C78" s="53" t="e">
        <f t="shared" si="32"/>
        <v>#DIV/0!</v>
      </c>
      <c r="D78" s="47" t="e" cm="1">
        <f t="array" ref="D78">_xlfn.IFS(AND($C$7="Y",B78&lt;C$4),D77,AND(C$7="N",B78&lt;C$4, C$6=0),D77,AND($C$7="Y",B78=C$4),D77+F78-L78+N78-J78,AND($C$7="Y",B78&gt;C$4),(D77-J78)*(1-S78-U78), TRUE, (D77-J78)*(1-S78-U78))</f>
        <v>#DIV/0!</v>
      </c>
      <c r="E78" s="48">
        <f t="shared" si="33"/>
        <v>0</v>
      </c>
      <c r="F78" s="52">
        <f t="shared" ref="F78:F141" si="41">IF(AND($C$7="Y",B78&lt;=C$4),E78+F77,0)</f>
        <v>0</v>
      </c>
      <c r="G78" s="52">
        <f t="shared" si="18"/>
        <v>0</v>
      </c>
      <c r="H78" s="53" t="e">
        <f t="shared" si="34"/>
        <v>#DIV/0!</v>
      </c>
      <c r="I78" s="54" t="e">
        <f t="shared" si="30"/>
        <v>#DIV/0!</v>
      </c>
      <c r="J78" s="55" t="e">
        <f t="shared" si="29"/>
        <v>#DIV/0!</v>
      </c>
      <c r="K78" s="54" t="e" cm="1">
        <f t="array" ref="K78">_xlfn.IFS(AND($C$7="Y",B78=C$4),0,AND($C$7="N",B78=C$4),0,TRUE,((D77-D78)-L78+N78))</f>
        <v>#DIV/0!</v>
      </c>
      <c r="L78" s="51" t="e">
        <f t="shared" si="35"/>
        <v>#DIV/0!</v>
      </c>
      <c r="M78" s="51">
        <f t="shared" si="28"/>
        <v>0</v>
      </c>
      <c r="N78" s="51">
        <f t="shared" si="27"/>
        <v>0</v>
      </c>
      <c r="O78" s="48" t="e">
        <f t="shared" si="26"/>
        <v>#DIV/0!</v>
      </c>
      <c r="P78" s="37" t="e">
        <f t="shared" si="36"/>
        <v>#DIV/0!</v>
      </c>
      <c r="Q78" s="56"/>
      <c r="R78" s="56">
        <f t="shared" si="37"/>
        <v>0.12</v>
      </c>
      <c r="S78" s="56">
        <f t="shared" si="38"/>
        <v>1.0596241035318976E-2</v>
      </c>
      <c r="T78" s="56">
        <f t="shared" si="39"/>
        <v>8.0519338057870024E-2</v>
      </c>
      <c r="U78" s="56">
        <f t="shared" ref="U78:U141" si="42">1-(1-T78)^(1/12)</f>
        <v>6.9711104768118703E-3</v>
      </c>
      <c r="V78" s="37" t="e">
        <f t="shared" si="40"/>
        <v>#DIV/0!</v>
      </c>
    </row>
    <row r="79" spans="2:22" x14ac:dyDescent="0.2">
      <c r="B79" s="50">
        <f t="shared" si="31"/>
        <v>68</v>
      </c>
      <c r="C79" s="53" t="e">
        <f t="shared" si="32"/>
        <v>#DIV/0!</v>
      </c>
      <c r="D79" s="47" t="e" cm="1">
        <f t="array" ref="D79">_xlfn.IFS(AND($C$7="Y",B79&lt;C$4),D78,AND(C$7="N",B79&lt;C$4, C$6=0),D78,AND($C$7="Y",B79=C$4),D78+F79-L79+N79-J79,AND($C$7="Y",B79&gt;C$4),(D78-J79)*(1-S79-U79), TRUE, (D78-J79)*(1-S79-U79))</f>
        <v>#DIV/0!</v>
      </c>
      <c r="E79" s="48">
        <f t="shared" si="33"/>
        <v>0</v>
      </c>
      <c r="F79" s="52">
        <f t="shared" si="41"/>
        <v>0</v>
      </c>
      <c r="G79" s="52">
        <f t="shared" ref="G79:G142" si="43">IF($B79&lt;=$C$4,C$6,0)</f>
        <v>0</v>
      </c>
      <c r="H79" s="53" t="e">
        <f t="shared" si="34"/>
        <v>#DIV/0!</v>
      </c>
      <c r="I79" s="54" t="e">
        <f t="shared" si="30"/>
        <v>#DIV/0!</v>
      </c>
      <c r="J79" s="55" t="e">
        <f t="shared" si="29"/>
        <v>#DIV/0!</v>
      </c>
      <c r="K79" s="54" t="e" cm="1">
        <f t="array" ref="K79">_xlfn.IFS(AND($C$7="Y",B79=C$4),0,AND($C$7="N",B79=C$4),0,TRUE,((D78-D79)-L79+N79))</f>
        <v>#DIV/0!</v>
      </c>
      <c r="L79" s="51" t="e">
        <f t="shared" si="35"/>
        <v>#DIV/0!</v>
      </c>
      <c r="M79" s="51">
        <f t="shared" si="28"/>
        <v>0</v>
      </c>
      <c r="N79" s="51">
        <f t="shared" si="27"/>
        <v>0</v>
      </c>
      <c r="O79" s="48" t="e">
        <f t="shared" si="26"/>
        <v>#DIV/0!</v>
      </c>
      <c r="P79" s="37" t="e">
        <f t="shared" si="36"/>
        <v>#DIV/0!</v>
      </c>
      <c r="Q79" s="56"/>
      <c r="R79" s="56">
        <f t="shared" si="37"/>
        <v>0.12</v>
      </c>
      <c r="S79" s="56">
        <f t="shared" si="38"/>
        <v>1.0596241035318976E-2</v>
      </c>
      <c r="T79" s="56">
        <f t="shared" si="39"/>
        <v>8.0519338057870024E-2</v>
      </c>
      <c r="U79" s="56">
        <f t="shared" si="42"/>
        <v>6.9711104768118703E-3</v>
      </c>
      <c r="V79" s="37" t="e">
        <f t="shared" si="40"/>
        <v>#DIV/0!</v>
      </c>
    </row>
    <row r="80" spans="2:22" x14ac:dyDescent="0.2">
      <c r="B80" s="50">
        <f t="shared" si="31"/>
        <v>69</v>
      </c>
      <c r="C80" s="53" t="e">
        <f t="shared" si="32"/>
        <v>#DIV/0!</v>
      </c>
      <c r="D80" s="47" t="e" cm="1">
        <f t="array" ref="D80">_xlfn.IFS(AND($C$7="Y",B80&lt;C$4),D79,AND(C$7="N",B80&lt;C$4, C$6=0),D79,AND($C$7="Y",B80=C$4),D79+F80-L80+N80-J80,AND($C$7="Y",B80&gt;C$4),(D79-J80)*(1-S80-U80), TRUE, (D79-J80)*(1-S80-U80))</f>
        <v>#DIV/0!</v>
      </c>
      <c r="E80" s="48">
        <f t="shared" si="33"/>
        <v>0</v>
      </c>
      <c r="F80" s="52">
        <f t="shared" si="41"/>
        <v>0</v>
      </c>
      <c r="G80" s="52">
        <f t="shared" si="43"/>
        <v>0</v>
      </c>
      <c r="H80" s="53" t="e">
        <f t="shared" si="34"/>
        <v>#DIV/0!</v>
      </c>
      <c r="I80" s="54" t="e">
        <f t="shared" si="30"/>
        <v>#DIV/0!</v>
      </c>
      <c r="J80" s="55" t="e">
        <f t="shared" si="29"/>
        <v>#DIV/0!</v>
      </c>
      <c r="K80" s="54" t="e" cm="1">
        <f t="array" ref="K80">_xlfn.IFS(AND($C$7="Y",B80=C$4),0,AND($C$7="N",B80=C$4),0,TRUE,((D79-D80)-L80+N80))</f>
        <v>#DIV/0!</v>
      </c>
      <c r="L80" s="51" t="e">
        <f t="shared" si="35"/>
        <v>#DIV/0!</v>
      </c>
      <c r="M80" s="51">
        <f t="shared" si="28"/>
        <v>0</v>
      </c>
      <c r="N80" s="51">
        <f t="shared" si="27"/>
        <v>0</v>
      </c>
      <c r="O80" s="48" t="e">
        <f t="shared" si="26"/>
        <v>#DIV/0!</v>
      </c>
      <c r="P80" s="37" t="e">
        <f t="shared" si="36"/>
        <v>#DIV/0!</v>
      </c>
      <c r="Q80" s="56"/>
      <c r="R80" s="56">
        <f t="shared" si="37"/>
        <v>0.12</v>
      </c>
      <c r="S80" s="56">
        <f t="shared" si="38"/>
        <v>1.0596241035318976E-2</v>
      </c>
      <c r="T80" s="56">
        <f t="shared" si="39"/>
        <v>8.0519338057870024E-2</v>
      </c>
      <c r="U80" s="56">
        <f t="shared" si="42"/>
        <v>6.9711104768118703E-3</v>
      </c>
      <c r="V80" s="37" t="e">
        <f t="shared" si="40"/>
        <v>#DIV/0!</v>
      </c>
    </row>
    <row r="81" spans="2:22" x14ac:dyDescent="0.2">
      <c r="B81" s="50">
        <f t="shared" si="31"/>
        <v>70</v>
      </c>
      <c r="C81" s="53" t="e">
        <f t="shared" si="32"/>
        <v>#DIV/0!</v>
      </c>
      <c r="D81" s="47" t="e" cm="1">
        <f t="array" ref="D81">_xlfn.IFS(AND($C$7="Y",B81&lt;C$4),D80,AND(C$7="N",B81&lt;C$4, C$6=0),D80,AND($C$7="Y",B81=C$4),D80+F81-L81+N81-J81,AND($C$7="Y",B81&gt;C$4),(D80-J81)*(1-S81-U81), TRUE, (D80-J81)*(1-S81-U81))</f>
        <v>#DIV/0!</v>
      </c>
      <c r="E81" s="48">
        <f t="shared" si="33"/>
        <v>0</v>
      </c>
      <c r="F81" s="52">
        <f t="shared" si="41"/>
        <v>0</v>
      </c>
      <c r="G81" s="52">
        <f t="shared" si="43"/>
        <v>0</v>
      </c>
      <c r="H81" s="53" t="e">
        <f t="shared" si="34"/>
        <v>#DIV/0!</v>
      </c>
      <c r="I81" s="54" t="e">
        <f t="shared" si="30"/>
        <v>#DIV/0!</v>
      </c>
      <c r="J81" s="55" t="e">
        <f t="shared" si="29"/>
        <v>#DIV/0!</v>
      </c>
      <c r="K81" s="54" t="e" cm="1">
        <f t="array" ref="K81">_xlfn.IFS(AND($C$7="Y",B81=C$4),0,AND($C$7="N",B81=C$4),0,TRUE,((D80-D81)-L81+N81))</f>
        <v>#DIV/0!</v>
      </c>
      <c r="L81" s="51" t="e">
        <f t="shared" si="35"/>
        <v>#DIV/0!</v>
      </c>
      <c r="M81" s="51">
        <f t="shared" si="28"/>
        <v>0</v>
      </c>
      <c r="N81" s="51">
        <f t="shared" si="27"/>
        <v>0</v>
      </c>
      <c r="O81" s="48" t="e">
        <f t="shared" si="26"/>
        <v>#DIV/0!</v>
      </c>
      <c r="P81" s="37" t="e">
        <f t="shared" si="36"/>
        <v>#DIV/0!</v>
      </c>
      <c r="Q81" s="56"/>
      <c r="R81" s="56">
        <f t="shared" si="37"/>
        <v>0.12</v>
      </c>
      <c r="S81" s="56">
        <f t="shared" si="38"/>
        <v>1.0596241035318976E-2</v>
      </c>
      <c r="T81" s="56">
        <f t="shared" si="39"/>
        <v>8.0519338057870024E-2</v>
      </c>
      <c r="U81" s="56">
        <f t="shared" si="42"/>
        <v>6.9711104768118703E-3</v>
      </c>
      <c r="V81" s="37" t="e">
        <f t="shared" si="40"/>
        <v>#DIV/0!</v>
      </c>
    </row>
    <row r="82" spans="2:22" x14ac:dyDescent="0.2">
      <c r="B82" s="50">
        <f t="shared" si="31"/>
        <v>71</v>
      </c>
      <c r="C82" s="53" t="e">
        <f t="shared" si="32"/>
        <v>#DIV/0!</v>
      </c>
      <c r="D82" s="47" t="e" cm="1">
        <f t="array" ref="D82">_xlfn.IFS(AND($C$7="Y",B82&lt;C$4),D81,AND(C$7="N",B82&lt;C$4, C$6=0),D81,AND($C$7="Y",B82=C$4),D81+F82-L82+N82-J82,AND($C$7="Y",B82&gt;C$4),(D81-J82)*(1-S82-U82), TRUE, (D81-J82)*(1-S82-U82))</f>
        <v>#DIV/0!</v>
      </c>
      <c r="E82" s="48">
        <f t="shared" si="33"/>
        <v>0</v>
      </c>
      <c r="F82" s="52">
        <f t="shared" si="41"/>
        <v>0</v>
      </c>
      <c r="G82" s="52">
        <f t="shared" si="43"/>
        <v>0</v>
      </c>
      <c r="H82" s="53" t="e">
        <f t="shared" si="34"/>
        <v>#DIV/0!</v>
      </c>
      <c r="I82" s="54" t="e">
        <f t="shared" si="30"/>
        <v>#DIV/0!</v>
      </c>
      <c r="J82" s="55" t="e">
        <f t="shared" si="29"/>
        <v>#DIV/0!</v>
      </c>
      <c r="K82" s="54" t="e" cm="1">
        <f t="array" ref="K82">_xlfn.IFS(AND($C$7="Y",B82=C$4),0,AND($C$7="N",B82=C$4),0,TRUE,((D81-D82)-L82+N82))</f>
        <v>#DIV/0!</v>
      </c>
      <c r="L82" s="51" t="e">
        <f t="shared" si="35"/>
        <v>#DIV/0!</v>
      </c>
      <c r="M82" s="51">
        <f t="shared" si="28"/>
        <v>0</v>
      </c>
      <c r="N82" s="51">
        <f t="shared" si="27"/>
        <v>0</v>
      </c>
      <c r="O82" s="48" t="e">
        <f t="shared" si="26"/>
        <v>#DIV/0!</v>
      </c>
      <c r="P82" s="37" t="e">
        <f t="shared" si="36"/>
        <v>#DIV/0!</v>
      </c>
      <c r="Q82" s="56"/>
      <c r="R82" s="56">
        <f t="shared" si="37"/>
        <v>0.12</v>
      </c>
      <c r="S82" s="56">
        <f t="shared" si="38"/>
        <v>1.0596241035318976E-2</v>
      </c>
      <c r="T82" s="56">
        <f t="shared" si="39"/>
        <v>8.0519338057870024E-2</v>
      </c>
      <c r="U82" s="56">
        <f t="shared" si="42"/>
        <v>6.9711104768118703E-3</v>
      </c>
      <c r="V82" s="37" t="e">
        <f t="shared" si="40"/>
        <v>#DIV/0!</v>
      </c>
    </row>
    <row r="83" spans="2:22" x14ac:dyDescent="0.2">
      <c r="B83" s="50">
        <f t="shared" si="31"/>
        <v>72</v>
      </c>
      <c r="C83" s="53" t="e">
        <f t="shared" si="32"/>
        <v>#DIV/0!</v>
      </c>
      <c r="D83" s="47" t="e" cm="1">
        <f t="array" ref="D83">_xlfn.IFS(AND($C$7="Y",B83&lt;C$4),D82,AND(C$7="N",B83&lt;C$4, C$6=0),D82,AND($C$7="Y",B83=C$4),D82+F83-L83+N83-J83,AND($C$7="Y",B83&gt;C$4),(D82-J83)*(1-S83-U83), TRUE, (D82-J83)*(1-S83-U83))</f>
        <v>#DIV/0!</v>
      </c>
      <c r="E83" s="48">
        <f t="shared" si="33"/>
        <v>0</v>
      </c>
      <c r="F83" s="52">
        <f t="shared" si="41"/>
        <v>0</v>
      </c>
      <c r="G83" s="52">
        <f t="shared" si="43"/>
        <v>0</v>
      </c>
      <c r="H83" s="53" t="e">
        <f t="shared" si="34"/>
        <v>#DIV/0!</v>
      </c>
      <c r="I83" s="54" t="e">
        <f t="shared" si="30"/>
        <v>#DIV/0!</v>
      </c>
      <c r="J83" s="55" t="e">
        <f t="shared" si="29"/>
        <v>#DIV/0!</v>
      </c>
      <c r="K83" s="54" t="e" cm="1">
        <f t="array" ref="K83">_xlfn.IFS(AND($C$7="Y",B83=C$4),0,AND($C$7="N",B83=C$4),0,TRUE,((D82-D83)-L83+N83))</f>
        <v>#DIV/0!</v>
      </c>
      <c r="L83" s="51" t="e">
        <f t="shared" si="35"/>
        <v>#DIV/0!</v>
      </c>
      <c r="M83" s="51">
        <f t="shared" si="28"/>
        <v>0</v>
      </c>
      <c r="N83" s="51">
        <f t="shared" si="27"/>
        <v>0</v>
      </c>
      <c r="O83" s="48" t="e">
        <f t="shared" si="26"/>
        <v>#DIV/0!</v>
      </c>
      <c r="P83" s="37" t="e">
        <f t="shared" si="36"/>
        <v>#DIV/0!</v>
      </c>
      <c r="Q83" s="56"/>
      <c r="R83" s="56">
        <f t="shared" si="37"/>
        <v>0.12</v>
      </c>
      <c r="S83" s="56">
        <f t="shared" si="38"/>
        <v>1.0596241035318976E-2</v>
      </c>
      <c r="T83" s="56">
        <f t="shared" si="39"/>
        <v>8.0519338057870024E-2</v>
      </c>
      <c r="U83" s="56">
        <f t="shared" si="42"/>
        <v>6.9711104768118703E-3</v>
      </c>
      <c r="V83" s="37" t="e">
        <f t="shared" si="40"/>
        <v>#DIV/0!</v>
      </c>
    </row>
    <row r="84" spans="2:22" x14ac:dyDescent="0.2">
      <c r="B84" s="50">
        <f t="shared" si="31"/>
        <v>73</v>
      </c>
      <c r="C84" s="53" t="e">
        <f t="shared" si="32"/>
        <v>#DIV/0!</v>
      </c>
      <c r="D84" s="47" t="e" cm="1">
        <f t="array" ref="D84">_xlfn.IFS(AND($C$7="Y",B84&lt;C$4),D83,AND(C$7="N",B84&lt;C$4, C$6=0),D83,AND($C$7="Y",B84=C$4),D83+F84-L84+N84-J84,AND($C$7="Y",B84&gt;C$4),(D83-J84)*(1-S84-U84), TRUE, (D83-J84)*(1-S84-U84))</f>
        <v>#DIV/0!</v>
      </c>
      <c r="E84" s="48">
        <f t="shared" si="33"/>
        <v>0</v>
      </c>
      <c r="F84" s="52">
        <f t="shared" si="41"/>
        <v>0</v>
      </c>
      <c r="G84" s="52">
        <f t="shared" si="43"/>
        <v>0</v>
      </c>
      <c r="H84" s="53" t="e">
        <f t="shared" si="34"/>
        <v>#DIV/0!</v>
      </c>
      <c r="I84" s="54" t="e">
        <f t="shared" si="30"/>
        <v>#DIV/0!</v>
      </c>
      <c r="J84" s="55" t="e">
        <f t="shared" si="29"/>
        <v>#DIV/0!</v>
      </c>
      <c r="K84" s="54" t="e" cm="1">
        <f t="array" ref="K84">_xlfn.IFS(AND($C$7="Y",B84=C$4),0,AND($C$7="N",B84=C$4),0,TRUE,((D83-D84)-L84+N84))</f>
        <v>#DIV/0!</v>
      </c>
      <c r="L84" s="51" t="e">
        <f t="shared" si="35"/>
        <v>#DIV/0!</v>
      </c>
      <c r="M84" s="51">
        <f t="shared" si="28"/>
        <v>0</v>
      </c>
      <c r="N84" s="51">
        <f t="shared" si="27"/>
        <v>0</v>
      </c>
      <c r="O84" s="48" t="e">
        <f t="shared" si="26"/>
        <v>#DIV/0!</v>
      </c>
      <c r="P84" s="37" t="e">
        <f t="shared" si="36"/>
        <v>#DIV/0!</v>
      </c>
      <c r="Q84" s="56"/>
      <c r="R84" s="56">
        <f t="shared" si="37"/>
        <v>0.12</v>
      </c>
      <c r="S84" s="56">
        <f t="shared" si="38"/>
        <v>1.0596241035318976E-2</v>
      </c>
      <c r="T84" s="56">
        <f t="shared" si="39"/>
        <v>8.0519338057870024E-2</v>
      </c>
      <c r="U84" s="56">
        <f t="shared" si="42"/>
        <v>6.9711104768118703E-3</v>
      </c>
      <c r="V84" s="37" t="e">
        <f t="shared" si="40"/>
        <v>#DIV/0!</v>
      </c>
    </row>
    <row r="85" spans="2:22" x14ac:dyDescent="0.2">
      <c r="B85" s="50">
        <f t="shared" si="31"/>
        <v>74</v>
      </c>
      <c r="C85" s="53" t="e">
        <f t="shared" si="32"/>
        <v>#DIV/0!</v>
      </c>
      <c r="D85" s="47" t="e" cm="1">
        <f t="array" ref="D85">_xlfn.IFS(AND($C$7="Y",B85&lt;C$4),D84,AND(C$7="N",B85&lt;C$4, C$6=0),D84,AND($C$7="Y",B85=C$4),D84+F85-L85+N85-J85,AND($C$7="Y",B85&gt;C$4),(D84-J85)*(1-S85-U85), TRUE, (D84-J85)*(1-S85-U85))</f>
        <v>#DIV/0!</v>
      </c>
      <c r="E85" s="48">
        <f t="shared" si="33"/>
        <v>0</v>
      </c>
      <c r="F85" s="52">
        <f t="shared" si="41"/>
        <v>0</v>
      </c>
      <c r="G85" s="52">
        <f t="shared" si="43"/>
        <v>0</v>
      </c>
      <c r="H85" s="53" t="e">
        <f t="shared" si="34"/>
        <v>#DIV/0!</v>
      </c>
      <c r="I85" s="54" t="e">
        <f t="shared" si="30"/>
        <v>#DIV/0!</v>
      </c>
      <c r="J85" s="55" t="e">
        <f t="shared" si="29"/>
        <v>#DIV/0!</v>
      </c>
      <c r="K85" s="54" t="e" cm="1">
        <f t="array" ref="K85">_xlfn.IFS(AND($C$7="Y",B85=C$4),0,AND($C$7="N",B85=C$4),0,TRUE,((D84-D85)-L85+N85))</f>
        <v>#DIV/0!</v>
      </c>
      <c r="L85" s="51" t="e">
        <f t="shared" si="35"/>
        <v>#DIV/0!</v>
      </c>
      <c r="M85" s="51">
        <f t="shared" si="28"/>
        <v>0</v>
      </c>
      <c r="N85" s="51">
        <f t="shared" si="27"/>
        <v>0</v>
      </c>
      <c r="O85" s="48" t="e">
        <f t="shared" si="26"/>
        <v>#DIV/0!</v>
      </c>
      <c r="P85" s="37" t="e">
        <f t="shared" si="36"/>
        <v>#DIV/0!</v>
      </c>
      <c r="Q85" s="56"/>
      <c r="R85" s="56">
        <f t="shared" si="37"/>
        <v>0.12</v>
      </c>
      <c r="S85" s="56">
        <f t="shared" si="38"/>
        <v>1.0596241035318976E-2</v>
      </c>
      <c r="T85" s="56">
        <f t="shared" si="39"/>
        <v>8.0519338057870024E-2</v>
      </c>
      <c r="U85" s="56">
        <f t="shared" si="42"/>
        <v>6.9711104768118703E-3</v>
      </c>
      <c r="V85" s="37" t="e">
        <f t="shared" si="40"/>
        <v>#DIV/0!</v>
      </c>
    </row>
    <row r="86" spans="2:22" x14ac:dyDescent="0.2">
      <c r="B86" s="50">
        <f t="shared" si="31"/>
        <v>75</v>
      </c>
      <c r="C86" s="53" t="e">
        <f t="shared" si="32"/>
        <v>#DIV/0!</v>
      </c>
      <c r="D86" s="47" t="e" cm="1">
        <f t="array" ref="D86">_xlfn.IFS(AND($C$7="Y",B86&lt;C$4),D85,AND(C$7="N",B86&lt;C$4, C$6=0),D85,AND($C$7="Y",B86=C$4),D85+F86-L86+N86-J86,AND($C$7="Y",B86&gt;C$4),(D85-J86)*(1-S86-U86), TRUE, (D85-J86)*(1-S86-U86))</f>
        <v>#DIV/0!</v>
      </c>
      <c r="E86" s="48">
        <f t="shared" si="33"/>
        <v>0</v>
      </c>
      <c r="F86" s="52">
        <f t="shared" si="41"/>
        <v>0</v>
      </c>
      <c r="G86" s="52">
        <f t="shared" si="43"/>
        <v>0</v>
      </c>
      <c r="H86" s="53" t="e">
        <f t="shared" si="34"/>
        <v>#DIV/0!</v>
      </c>
      <c r="I86" s="54" t="e">
        <f t="shared" si="30"/>
        <v>#DIV/0!</v>
      </c>
      <c r="J86" s="55" t="e">
        <f t="shared" si="29"/>
        <v>#DIV/0!</v>
      </c>
      <c r="K86" s="54" t="e" cm="1">
        <f t="array" ref="K86">_xlfn.IFS(AND($C$7="Y",B86=C$4),0,AND($C$7="N",B86=C$4),0,TRUE,((D85-D86)-L86+N86))</f>
        <v>#DIV/0!</v>
      </c>
      <c r="L86" s="51" t="e">
        <f t="shared" si="35"/>
        <v>#DIV/0!</v>
      </c>
      <c r="M86" s="51">
        <f t="shared" si="28"/>
        <v>0</v>
      </c>
      <c r="N86" s="51">
        <f t="shared" si="27"/>
        <v>0</v>
      </c>
      <c r="O86" s="48" t="e">
        <f t="shared" si="26"/>
        <v>#DIV/0!</v>
      </c>
      <c r="P86" s="37" t="e">
        <f t="shared" si="36"/>
        <v>#DIV/0!</v>
      </c>
      <c r="Q86" s="56"/>
      <c r="R86" s="56">
        <f t="shared" si="37"/>
        <v>0.12</v>
      </c>
      <c r="S86" s="56">
        <f t="shared" si="38"/>
        <v>1.0596241035318976E-2</v>
      </c>
      <c r="T86" s="56">
        <f t="shared" si="39"/>
        <v>8.0519338057870024E-2</v>
      </c>
      <c r="U86" s="56">
        <f t="shared" si="42"/>
        <v>6.9711104768118703E-3</v>
      </c>
      <c r="V86" s="37" t="e">
        <f t="shared" si="40"/>
        <v>#DIV/0!</v>
      </c>
    </row>
    <row r="87" spans="2:22" x14ac:dyDescent="0.2">
      <c r="B87" s="50">
        <f t="shared" si="31"/>
        <v>76</v>
      </c>
      <c r="C87" s="53" t="e">
        <f t="shared" si="32"/>
        <v>#DIV/0!</v>
      </c>
      <c r="D87" s="47" t="e" cm="1">
        <f t="array" ref="D87">_xlfn.IFS(AND($C$7="Y",B87&lt;C$4),D86,AND(C$7="N",B87&lt;C$4, C$6=0),D86,AND($C$7="Y",B87=C$4),D86+F87-L87+N87-J87,AND($C$7="Y",B87&gt;C$4),(D86-J87)*(1-S87-U87), TRUE, (D86-J87)*(1-S87-U87))</f>
        <v>#DIV/0!</v>
      </c>
      <c r="E87" s="48">
        <f t="shared" si="33"/>
        <v>0</v>
      </c>
      <c r="F87" s="52">
        <f t="shared" si="41"/>
        <v>0</v>
      </c>
      <c r="G87" s="52">
        <f t="shared" si="43"/>
        <v>0</v>
      </c>
      <c r="H87" s="53" t="e">
        <f t="shared" si="34"/>
        <v>#DIV/0!</v>
      </c>
      <c r="I87" s="54" t="e">
        <f t="shared" si="30"/>
        <v>#DIV/0!</v>
      </c>
      <c r="J87" s="55" t="e">
        <f t="shared" si="29"/>
        <v>#DIV/0!</v>
      </c>
      <c r="K87" s="54" t="e" cm="1">
        <f t="array" ref="K87">_xlfn.IFS(AND($C$7="Y",B87=C$4),0,AND($C$7="N",B87=C$4),0,TRUE,((D86-D87)-L87+N87))</f>
        <v>#DIV/0!</v>
      </c>
      <c r="L87" s="51" t="e">
        <f t="shared" si="35"/>
        <v>#DIV/0!</v>
      </c>
      <c r="M87" s="51">
        <f t="shared" si="28"/>
        <v>0</v>
      </c>
      <c r="N87" s="51">
        <f t="shared" si="27"/>
        <v>0</v>
      </c>
      <c r="O87" s="48" t="e">
        <f t="shared" si="26"/>
        <v>#DIV/0!</v>
      </c>
      <c r="P87" s="37" t="e">
        <f t="shared" si="36"/>
        <v>#DIV/0!</v>
      </c>
      <c r="Q87" s="56"/>
      <c r="R87" s="56">
        <f t="shared" si="37"/>
        <v>0.12</v>
      </c>
      <c r="S87" s="56">
        <f t="shared" si="38"/>
        <v>1.0596241035318976E-2</v>
      </c>
      <c r="T87" s="56">
        <f t="shared" si="39"/>
        <v>8.0519338057870024E-2</v>
      </c>
      <c r="U87" s="56">
        <f t="shared" si="42"/>
        <v>6.9711104768118703E-3</v>
      </c>
      <c r="V87" s="37" t="e">
        <f t="shared" si="40"/>
        <v>#DIV/0!</v>
      </c>
    </row>
    <row r="88" spans="2:22" x14ac:dyDescent="0.2">
      <c r="B88" s="50">
        <f t="shared" si="31"/>
        <v>77</v>
      </c>
      <c r="C88" s="53" t="e">
        <f t="shared" si="32"/>
        <v>#DIV/0!</v>
      </c>
      <c r="D88" s="47" t="e" cm="1">
        <f t="array" ref="D88">_xlfn.IFS(AND($C$7="Y",B88&lt;C$4),D87,AND(C$7="N",B88&lt;C$4, C$6=0),D87,AND($C$7="Y",B88=C$4),D87+F88-L88+N88-J88,AND($C$7="Y",B88&gt;C$4),(D87-J88)*(1-S88-U88), TRUE, (D87-J88)*(1-S88-U88))</f>
        <v>#DIV/0!</v>
      </c>
      <c r="E88" s="48">
        <f t="shared" si="33"/>
        <v>0</v>
      </c>
      <c r="F88" s="52">
        <f t="shared" si="41"/>
        <v>0</v>
      </c>
      <c r="G88" s="52">
        <f t="shared" si="43"/>
        <v>0</v>
      </c>
      <c r="H88" s="53" t="e">
        <f t="shared" si="34"/>
        <v>#DIV/0!</v>
      </c>
      <c r="I88" s="54" t="e">
        <f t="shared" si="30"/>
        <v>#DIV/0!</v>
      </c>
      <c r="J88" s="55" t="e">
        <f t="shared" si="29"/>
        <v>#DIV/0!</v>
      </c>
      <c r="K88" s="54" t="e" cm="1">
        <f t="array" ref="K88">_xlfn.IFS(AND($C$7="Y",B88=C$4),0,AND($C$7="N",B88=C$4),0,TRUE,((D87-D88)-L88+N88))</f>
        <v>#DIV/0!</v>
      </c>
      <c r="L88" s="51" t="e">
        <f t="shared" si="35"/>
        <v>#DIV/0!</v>
      </c>
      <c r="M88" s="51">
        <f t="shared" si="28"/>
        <v>0</v>
      </c>
      <c r="N88" s="51">
        <f t="shared" si="27"/>
        <v>0</v>
      </c>
      <c r="O88" s="48" t="e">
        <f t="shared" si="26"/>
        <v>#DIV/0!</v>
      </c>
      <c r="P88" s="37" t="e">
        <f t="shared" si="36"/>
        <v>#DIV/0!</v>
      </c>
      <c r="Q88" s="56"/>
      <c r="R88" s="56">
        <f t="shared" si="37"/>
        <v>0.12</v>
      </c>
      <c r="S88" s="56">
        <f t="shared" si="38"/>
        <v>1.0596241035318976E-2</v>
      </c>
      <c r="T88" s="56">
        <f t="shared" si="39"/>
        <v>8.0519338057870024E-2</v>
      </c>
      <c r="U88" s="56">
        <f t="shared" si="42"/>
        <v>6.9711104768118703E-3</v>
      </c>
      <c r="V88" s="37" t="e">
        <f t="shared" si="40"/>
        <v>#DIV/0!</v>
      </c>
    </row>
    <row r="89" spans="2:22" x14ac:dyDescent="0.2">
      <c r="B89" s="50">
        <f t="shared" si="31"/>
        <v>78</v>
      </c>
      <c r="C89" s="53" t="e">
        <f t="shared" si="32"/>
        <v>#DIV/0!</v>
      </c>
      <c r="D89" s="47" t="e" cm="1">
        <f t="array" ref="D89">_xlfn.IFS(AND($C$7="Y",B89&lt;C$4),D88,AND(C$7="N",B89&lt;C$4, C$6=0),D88,AND($C$7="Y",B89=C$4),D88+F89-L89+N89-J89,AND($C$7="Y",B89&gt;C$4),(D88-J89)*(1-S89-U89), TRUE, (D88-J89)*(1-S89-U89))</f>
        <v>#DIV/0!</v>
      </c>
      <c r="E89" s="48">
        <f t="shared" si="33"/>
        <v>0</v>
      </c>
      <c r="F89" s="52">
        <f t="shared" si="41"/>
        <v>0</v>
      </c>
      <c r="G89" s="52">
        <f t="shared" si="43"/>
        <v>0</v>
      </c>
      <c r="H89" s="53" t="e">
        <f t="shared" si="34"/>
        <v>#DIV/0!</v>
      </c>
      <c r="I89" s="54" t="e">
        <f t="shared" si="30"/>
        <v>#DIV/0!</v>
      </c>
      <c r="J89" s="55" t="e">
        <f t="shared" si="29"/>
        <v>#DIV/0!</v>
      </c>
      <c r="K89" s="54" t="e" cm="1">
        <f t="array" ref="K89">_xlfn.IFS(AND($C$7="Y",B89=C$4),0,AND($C$7="N",B89=C$4),0,TRUE,((D88-D89)-L89+N89))</f>
        <v>#DIV/0!</v>
      </c>
      <c r="L89" s="51" t="e">
        <f t="shared" si="35"/>
        <v>#DIV/0!</v>
      </c>
      <c r="M89" s="51">
        <f t="shared" si="28"/>
        <v>0</v>
      </c>
      <c r="N89" s="51">
        <f t="shared" si="27"/>
        <v>0</v>
      </c>
      <c r="O89" s="48" t="e">
        <f t="shared" si="26"/>
        <v>#DIV/0!</v>
      </c>
      <c r="P89" s="37" t="e">
        <f t="shared" si="36"/>
        <v>#DIV/0!</v>
      </c>
      <c r="Q89" s="56"/>
      <c r="R89" s="56">
        <f t="shared" si="37"/>
        <v>0.12</v>
      </c>
      <c r="S89" s="56">
        <f t="shared" si="38"/>
        <v>1.0596241035318976E-2</v>
      </c>
      <c r="T89" s="56">
        <f t="shared" si="39"/>
        <v>8.0519338057870024E-2</v>
      </c>
      <c r="U89" s="56">
        <f t="shared" si="42"/>
        <v>6.9711104768118703E-3</v>
      </c>
      <c r="V89" s="37" t="e">
        <f t="shared" si="40"/>
        <v>#DIV/0!</v>
      </c>
    </row>
    <row r="90" spans="2:22" x14ac:dyDescent="0.2">
      <c r="B90" s="50">
        <f t="shared" si="31"/>
        <v>79</v>
      </c>
      <c r="C90" s="53" t="e">
        <f t="shared" si="32"/>
        <v>#DIV/0!</v>
      </c>
      <c r="D90" s="47" t="e" cm="1">
        <f t="array" ref="D90">_xlfn.IFS(AND($C$7="Y",B90&lt;C$4),D89,AND(C$7="N",B90&lt;C$4, C$6=0),D89,AND($C$7="Y",B90=C$4),D89+F90-L90+N90-J90,AND($C$7="Y",B90&gt;C$4),(D89-J90)*(1-S90-U90), TRUE, (D89-J90)*(1-S90-U90))</f>
        <v>#DIV/0!</v>
      </c>
      <c r="E90" s="48">
        <f t="shared" si="33"/>
        <v>0</v>
      </c>
      <c r="F90" s="52">
        <f t="shared" si="41"/>
        <v>0</v>
      </c>
      <c r="G90" s="52">
        <f t="shared" si="43"/>
        <v>0</v>
      </c>
      <c r="H90" s="53" t="e">
        <f t="shared" si="34"/>
        <v>#DIV/0!</v>
      </c>
      <c r="I90" s="54" t="e">
        <f t="shared" si="30"/>
        <v>#DIV/0!</v>
      </c>
      <c r="J90" s="55" t="e">
        <f t="shared" si="29"/>
        <v>#DIV/0!</v>
      </c>
      <c r="K90" s="54" t="e" cm="1">
        <f t="array" ref="K90">_xlfn.IFS(AND($C$7="Y",B90=C$4),0,AND($C$7="N",B90=C$4),0,TRUE,((D89-D90)-L90+N90))</f>
        <v>#DIV/0!</v>
      </c>
      <c r="L90" s="51" t="e">
        <f t="shared" si="35"/>
        <v>#DIV/0!</v>
      </c>
      <c r="M90" s="51">
        <f t="shared" si="28"/>
        <v>0</v>
      </c>
      <c r="N90" s="51">
        <f t="shared" si="27"/>
        <v>0</v>
      </c>
      <c r="O90" s="48" t="e">
        <f t="shared" si="26"/>
        <v>#DIV/0!</v>
      </c>
      <c r="P90" s="37" t="e">
        <f t="shared" si="36"/>
        <v>#DIV/0!</v>
      </c>
      <c r="Q90" s="56"/>
      <c r="R90" s="56">
        <f t="shared" si="37"/>
        <v>0.12</v>
      </c>
      <c r="S90" s="56">
        <f t="shared" si="38"/>
        <v>1.0596241035318976E-2</v>
      </c>
      <c r="T90" s="56">
        <f t="shared" si="39"/>
        <v>8.0519338057870024E-2</v>
      </c>
      <c r="U90" s="56">
        <f t="shared" si="42"/>
        <v>6.9711104768118703E-3</v>
      </c>
      <c r="V90" s="37" t="e">
        <f t="shared" si="40"/>
        <v>#DIV/0!</v>
      </c>
    </row>
    <row r="91" spans="2:22" x14ac:dyDescent="0.2">
      <c r="B91" s="50">
        <f t="shared" si="31"/>
        <v>80</v>
      </c>
      <c r="C91" s="53" t="e">
        <f t="shared" si="32"/>
        <v>#DIV/0!</v>
      </c>
      <c r="D91" s="47" t="e" cm="1">
        <f t="array" ref="D91">_xlfn.IFS(AND($C$7="Y",B91&lt;C$4),D90,AND(C$7="N",B91&lt;C$4, C$6=0),D90,AND($C$7="Y",B91=C$4),D90+F91-L91+N91-J91,AND($C$7="Y",B91&gt;C$4),(D90-J91)*(1-S91-U91), TRUE, (D90-J91)*(1-S91-U91))</f>
        <v>#DIV/0!</v>
      </c>
      <c r="E91" s="48">
        <f t="shared" si="33"/>
        <v>0</v>
      </c>
      <c r="F91" s="52">
        <f t="shared" si="41"/>
        <v>0</v>
      </c>
      <c r="G91" s="52">
        <f t="shared" si="43"/>
        <v>0</v>
      </c>
      <c r="H91" s="53" t="e">
        <f t="shared" si="34"/>
        <v>#DIV/0!</v>
      </c>
      <c r="I91" s="54" t="e">
        <f t="shared" si="30"/>
        <v>#DIV/0!</v>
      </c>
      <c r="J91" s="55" t="e">
        <f t="shared" si="29"/>
        <v>#DIV/0!</v>
      </c>
      <c r="K91" s="54" t="e" cm="1">
        <f t="array" ref="K91">_xlfn.IFS(AND($C$7="Y",B91=C$4),0,AND($C$7="N",B91=C$4),0,TRUE,((D90-D91)-L91+N91))</f>
        <v>#DIV/0!</v>
      </c>
      <c r="L91" s="51" t="e">
        <f t="shared" si="35"/>
        <v>#DIV/0!</v>
      </c>
      <c r="M91" s="51">
        <f t="shared" si="28"/>
        <v>0</v>
      </c>
      <c r="N91" s="51">
        <f t="shared" si="27"/>
        <v>0</v>
      </c>
      <c r="O91" s="48" t="e">
        <f t="shared" ref="O91:O154" si="44">K91+I91+G91</f>
        <v>#DIV/0!</v>
      </c>
      <c r="P91" s="37" t="e">
        <f t="shared" si="36"/>
        <v>#DIV/0!</v>
      </c>
      <c r="Q91" s="56"/>
      <c r="R91" s="56">
        <f t="shared" si="37"/>
        <v>0.12</v>
      </c>
      <c r="S91" s="56">
        <f t="shared" si="38"/>
        <v>1.0596241035318976E-2</v>
      </c>
      <c r="T91" s="56">
        <f t="shared" si="39"/>
        <v>8.0519338057870024E-2</v>
      </c>
      <c r="U91" s="56">
        <f t="shared" si="42"/>
        <v>6.9711104768118703E-3</v>
      </c>
      <c r="V91" s="37" t="e">
        <f t="shared" si="40"/>
        <v>#DIV/0!</v>
      </c>
    </row>
    <row r="92" spans="2:22" x14ac:dyDescent="0.2">
      <c r="B92" s="50">
        <f t="shared" si="31"/>
        <v>81</v>
      </c>
      <c r="C92" s="53" t="e">
        <f t="shared" si="32"/>
        <v>#DIV/0!</v>
      </c>
      <c r="D92" s="47" t="e" cm="1">
        <f t="array" ref="D92">_xlfn.IFS(AND($C$7="Y",B92&lt;C$4),D91,AND(C$7="N",B92&lt;C$4, C$6=0),D91,AND($C$7="Y",B92=C$4),D91+F92-L92+N92-J92,AND($C$7="Y",B92&gt;C$4),(D91-J92)*(1-S92-U92), TRUE, (D91-J92)*(1-S92-U92))</f>
        <v>#DIV/0!</v>
      </c>
      <c r="E92" s="48">
        <f t="shared" si="33"/>
        <v>0</v>
      </c>
      <c r="F92" s="52">
        <f t="shared" si="41"/>
        <v>0</v>
      </c>
      <c r="G92" s="52">
        <f t="shared" si="43"/>
        <v>0</v>
      </c>
      <c r="H92" s="53" t="e">
        <f t="shared" si="34"/>
        <v>#DIV/0!</v>
      </c>
      <c r="I92" s="54" t="e">
        <f t="shared" si="30"/>
        <v>#DIV/0!</v>
      </c>
      <c r="J92" s="55" t="e">
        <f t="shared" si="29"/>
        <v>#DIV/0!</v>
      </c>
      <c r="K92" s="54" t="e" cm="1">
        <f t="array" ref="K92">_xlfn.IFS(AND($C$7="Y",B92=C$4),0,AND($C$7="N",B92=C$4),0,TRUE,((D91-D92)-L92+N92))</f>
        <v>#DIV/0!</v>
      </c>
      <c r="L92" s="51" t="e">
        <f t="shared" si="35"/>
        <v>#DIV/0!</v>
      </c>
      <c r="M92" s="51">
        <f t="shared" si="28"/>
        <v>0</v>
      </c>
      <c r="N92" s="51">
        <f t="shared" si="27"/>
        <v>0</v>
      </c>
      <c r="O92" s="48" t="e">
        <f t="shared" si="44"/>
        <v>#DIV/0!</v>
      </c>
      <c r="P92" s="37" t="e">
        <f t="shared" si="36"/>
        <v>#DIV/0!</v>
      </c>
      <c r="Q92" s="56"/>
      <c r="R92" s="56">
        <f t="shared" si="37"/>
        <v>0.12</v>
      </c>
      <c r="S92" s="56">
        <f t="shared" si="38"/>
        <v>1.0596241035318976E-2</v>
      </c>
      <c r="T92" s="56">
        <f t="shared" si="39"/>
        <v>8.0519338057870024E-2</v>
      </c>
      <c r="U92" s="56">
        <f t="shared" si="42"/>
        <v>6.9711104768118703E-3</v>
      </c>
      <c r="V92" s="37" t="e">
        <f t="shared" si="40"/>
        <v>#DIV/0!</v>
      </c>
    </row>
    <row r="93" spans="2:22" x14ac:dyDescent="0.2">
      <c r="B93" s="50">
        <f t="shared" si="31"/>
        <v>82</v>
      </c>
      <c r="C93" s="53" t="e">
        <f t="shared" si="32"/>
        <v>#DIV/0!</v>
      </c>
      <c r="D93" s="47" t="e" cm="1">
        <f t="array" ref="D93">_xlfn.IFS(AND($C$7="Y",B93&lt;C$4),D92,AND(C$7="N",B93&lt;C$4, C$6=0),D92,AND($C$7="Y",B93=C$4),D92+F93-L93+N93-J93,AND($C$7="Y",B93&gt;C$4),(D92-J93)*(1-S93-U93), TRUE, (D92-J93)*(1-S93-U93))</f>
        <v>#DIV/0!</v>
      </c>
      <c r="E93" s="48">
        <f t="shared" si="33"/>
        <v>0</v>
      </c>
      <c r="F93" s="52">
        <f t="shared" si="41"/>
        <v>0</v>
      </c>
      <c r="G93" s="52">
        <f t="shared" si="43"/>
        <v>0</v>
      </c>
      <c r="H93" s="53" t="e">
        <f t="shared" si="34"/>
        <v>#DIV/0!</v>
      </c>
      <c r="I93" s="54" t="e">
        <f t="shared" si="30"/>
        <v>#DIV/0!</v>
      </c>
      <c r="J93" s="55" t="e">
        <f t="shared" si="29"/>
        <v>#DIV/0!</v>
      </c>
      <c r="K93" s="54" t="e" cm="1">
        <f t="array" ref="K93">_xlfn.IFS(AND($C$7="Y",B93=C$4),0,AND($C$7="N",B93=C$4),0,TRUE,((D92-D93)-L93+N93))</f>
        <v>#DIV/0!</v>
      </c>
      <c r="L93" s="51" t="e">
        <f t="shared" si="35"/>
        <v>#DIV/0!</v>
      </c>
      <c r="M93" s="51">
        <f t="shared" si="28"/>
        <v>0</v>
      </c>
      <c r="N93" s="51">
        <f t="shared" si="27"/>
        <v>0</v>
      </c>
      <c r="O93" s="48" t="e">
        <f t="shared" si="44"/>
        <v>#DIV/0!</v>
      </c>
      <c r="P93" s="37" t="e">
        <f t="shared" si="36"/>
        <v>#DIV/0!</v>
      </c>
      <c r="Q93" s="56"/>
      <c r="R93" s="56">
        <f t="shared" si="37"/>
        <v>0.12</v>
      </c>
      <c r="S93" s="56">
        <f t="shared" si="38"/>
        <v>1.0596241035318976E-2</v>
      </c>
      <c r="T93" s="56">
        <f t="shared" si="39"/>
        <v>8.0519338057870024E-2</v>
      </c>
      <c r="U93" s="56">
        <f t="shared" si="42"/>
        <v>6.9711104768118703E-3</v>
      </c>
      <c r="V93" s="37" t="e">
        <f t="shared" si="40"/>
        <v>#DIV/0!</v>
      </c>
    </row>
    <row r="94" spans="2:22" x14ac:dyDescent="0.2">
      <c r="B94" s="50">
        <f t="shared" si="31"/>
        <v>83</v>
      </c>
      <c r="C94" s="53" t="e">
        <f t="shared" si="32"/>
        <v>#DIV/0!</v>
      </c>
      <c r="D94" s="47" t="e" cm="1">
        <f t="array" ref="D94">_xlfn.IFS(AND($C$7="Y",B94&lt;C$4),D93,AND(C$7="N",B94&lt;C$4, C$6=0),D93,AND($C$7="Y",B94=C$4),D93+F94-L94+N94-J94,AND($C$7="Y",B94&gt;C$4),(D93-J94)*(1-S94-U94), TRUE, (D93-J94)*(1-S94-U94))</f>
        <v>#DIV/0!</v>
      </c>
      <c r="E94" s="48">
        <f t="shared" si="33"/>
        <v>0</v>
      </c>
      <c r="F94" s="52">
        <f t="shared" si="41"/>
        <v>0</v>
      </c>
      <c r="G94" s="52">
        <f t="shared" si="43"/>
        <v>0</v>
      </c>
      <c r="H94" s="53" t="e">
        <f t="shared" si="34"/>
        <v>#DIV/0!</v>
      </c>
      <c r="I94" s="54" t="e">
        <f t="shared" si="30"/>
        <v>#DIV/0!</v>
      </c>
      <c r="J94" s="55" t="e">
        <f t="shared" si="29"/>
        <v>#DIV/0!</v>
      </c>
      <c r="K94" s="54" t="e" cm="1">
        <f t="array" ref="K94">_xlfn.IFS(AND($C$7="Y",B94=C$4),0,AND($C$7="N",B94=C$4),0,TRUE,((D93-D94)-L94+N94))</f>
        <v>#DIV/0!</v>
      </c>
      <c r="L94" s="51" t="e">
        <f t="shared" si="35"/>
        <v>#DIV/0!</v>
      </c>
      <c r="M94" s="51">
        <f t="shared" si="28"/>
        <v>0</v>
      </c>
      <c r="N94" s="51">
        <f t="shared" si="27"/>
        <v>0</v>
      </c>
      <c r="O94" s="48" t="e">
        <f t="shared" si="44"/>
        <v>#DIV/0!</v>
      </c>
      <c r="P94" s="37" t="e">
        <f t="shared" si="36"/>
        <v>#DIV/0!</v>
      </c>
      <c r="Q94" s="56"/>
      <c r="R94" s="56">
        <f t="shared" si="37"/>
        <v>0.12</v>
      </c>
      <c r="S94" s="56">
        <f t="shared" si="38"/>
        <v>1.0596241035318976E-2</v>
      </c>
      <c r="T94" s="56">
        <f t="shared" si="39"/>
        <v>8.0519338057870024E-2</v>
      </c>
      <c r="U94" s="56">
        <f t="shared" si="42"/>
        <v>6.9711104768118703E-3</v>
      </c>
      <c r="V94" s="37" t="e">
        <f t="shared" si="40"/>
        <v>#DIV/0!</v>
      </c>
    </row>
    <row r="95" spans="2:22" x14ac:dyDescent="0.2">
      <c r="B95" s="50">
        <f t="shared" si="31"/>
        <v>84</v>
      </c>
      <c r="C95" s="53" t="e">
        <f t="shared" si="32"/>
        <v>#DIV/0!</v>
      </c>
      <c r="D95" s="47" t="e" cm="1">
        <f t="array" ref="D95">_xlfn.IFS(AND($C$7="Y",B95&lt;C$4),D94,AND(C$7="N",B95&lt;C$4, C$6=0),D94,AND($C$7="Y",B95=C$4),D94+F95-L95+N95-J95,AND($C$7="Y",B95&gt;C$4),(D94-J95)*(1-S95-U95), TRUE, (D94-J95)*(1-S95-U95))</f>
        <v>#DIV/0!</v>
      </c>
      <c r="E95" s="48">
        <f t="shared" si="33"/>
        <v>0</v>
      </c>
      <c r="F95" s="52">
        <f t="shared" si="41"/>
        <v>0</v>
      </c>
      <c r="G95" s="52">
        <f t="shared" si="43"/>
        <v>0</v>
      </c>
      <c r="H95" s="53" t="e">
        <f t="shared" si="34"/>
        <v>#DIV/0!</v>
      </c>
      <c r="I95" s="54" t="e">
        <f t="shared" si="30"/>
        <v>#DIV/0!</v>
      </c>
      <c r="J95" s="55" t="e">
        <f t="shared" si="29"/>
        <v>#DIV/0!</v>
      </c>
      <c r="K95" s="54" t="e" cm="1">
        <f t="array" ref="K95">_xlfn.IFS(AND($C$7="Y",B95=C$4),0,AND($C$7="N",B95=C$4),0,TRUE,((D94-D95)-L95+N95))</f>
        <v>#DIV/0!</v>
      </c>
      <c r="L95" s="51" t="e">
        <f t="shared" si="35"/>
        <v>#DIV/0!</v>
      </c>
      <c r="M95" s="51">
        <f t="shared" si="28"/>
        <v>0</v>
      </c>
      <c r="N95" s="51">
        <f t="shared" si="27"/>
        <v>0</v>
      </c>
      <c r="O95" s="48" t="e">
        <f t="shared" si="44"/>
        <v>#DIV/0!</v>
      </c>
      <c r="P95" s="37" t="e">
        <f t="shared" si="36"/>
        <v>#DIV/0!</v>
      </c>
      <c r="Q95" s="56"/>
      <c r="R95" s="56">
        <f t="shared" si="37"/>
        <v>0.12</v>
      </c>
      <c r="S95" s="56">
        <f t="shared" si="38"/>
        <v>1.0596241035318976E-2</v>
      </c>
      <c r="T95" s="56">
        <f t="shared" si="39"/>
        <v>8.0519338057870024E-2</v>
      </c>
      <c r="U95" s="56">
        <f t="shared" si="42"/>
        <v>6.9711104768118703E-3</v>
      </c>
      <c r="V95" s="37" t="e">
        <f t="shared" si="40"/>
        <v>#DIV/0!</v>
      </c>
    </row>
    <row r="96" spans="2:22" x14ac:dyDescent="0.2">
      <c r="B96" s="50">
        <f t="shared" si="31"/>
        <v>85</v>
      </c>
      <c r="C96" s="53" t="e">
        <f t="shared" si="32"/>
        <v>#DIV/0!</v>
      </c>
      <c r="D96" s="47" t="e" cm="1">
        <f t="array" ref="D96">_xlfn.IFS(AND($C$7="Y",B96&lt;C$4),D95,AND(C$7="N",B96&lt;C$4, C$6=0),D95,AND($C$7="Y",B96=C$4),D95+F96-L96+N96-J96,AND($C$7="Y",B96&gt;C$4),(D95-J96)*(1-S96-U96), TRUE, (D95-J96)*(1-S96-U96))</f>
        <v>#DIV/0!</v>
      </c>
      <c r="E96" s="48">
        <f t="shared" si="33"/>
        <v>0</v>
      </c>
      <c r="F96" s="52">
        <f t="shared" si="41"/>
        <v>0</v>
      </c>
      <c r="G96" s="52">
        <f t="shared" si="43"/>
        <v>0</v>
      </c>
      <c r="H96" s="53" t="e">
        <f t="shared" si="34"/>
        <v>#DIV/0!</v>
      </c>
      <c r="I96" s="54" t="e">
        <f t="shared" si="30"/>
        <v>#DIV/0!</v>
      </c>
      <c r="J96" s="55" t="e">
        <f t="shared" si="29"/>
        <v>#DIV/0!</v>
      </c>
      <c r="K96" s="54" t="e" cm="1">
        <f t="array" ref="K96">_xlfn.IFS(AND($C$7="Y",B96=C$4),0,AND($C$7="N",B96=C$4),0,TRUE,((D95-D96)-L96+N96))</f>
        <v>#DIV/0!</v>
      </c>
      <c r="L96" s="51" t="e">
        <f t="shared" si="35"/>
        <v>#DIV/0!</v>
      </c>
      <c r="M96" s="51">
        <f t="shared" si="28"/>
        <v>0</v>
      </c>
      <c r="N96" s="51">
        <f t="shared" ref="N96:N159" si="45">IFERROR((1-$N$9)*L92,0)</f>
        <v>0</v>
      </c>
      <c r="O96" s="48" t="e">
        <f t="shared" si="44"/>
        <v>#DIV/0!</v>
      </c>
      <c r="P96" s="37" t="e">
        <f t="shared" si="36"/>
        <v>#DIV/0!</v>
      </c>
      <c r="Q96" s="56"/>
      <c r="R96" s="56">
        <f t="shared" si="37"/>
        <v>0.12</v>
      </c>
      <c r="S96" s="56">
        <f t="shared" si="38"/>
        <v>1.0596241035318976E-2</v>
      </c>
      <c r="T96" s="56">
        <f t="shared" si="39"/>
        <v>8.0519338057870024E-2</v>
      </c>
      <c r="U96" s="56">
        <f t="shared" si="42"/>
        <v>6.9711104768118703E-3</v>
      </c>
      <c r="V96" s="37" t="e">
        <f t="shared" si="40"/>
        <v>#DIV/0!</v>
      </c>
    </row>
    <row r="97" spans="2:22" x14ac:dyDescent="0.2">
      <c r="B97" s="50">
        <f t="shared" si="31"/>
        <v>86</v>
      </c>
      <c r="C97" s="53" t="e">
        <f t="shared" si="32"/>
        <v>#DIV/0!</v>
      </c>
      <c r="D97" s="47" t="e" cm="1">
        <f t="array" ref="D97">_xlfn.IFS(AND($C$7="Y",B97&lt;C$4),D96,AND(C$7="N",B97&lt;C$4, C$6=0),D96,AND($C$7="Y",B97=C$4),D96+F97-L97+N97-J97,AND($C$7="Y",B97&gt;C$4),(D96-J97)*(1-S97-U97), TRUE, (D96-J97)*(1-S97-U97))</f>
        <v>#DIV/0!</v>
      </c>
      <c r="E97" s="48">
        <f t="shared" si="33"/>
        <v>0</v>
      </c>
      <c r="F97" s="52">
        <f t="shared" si="41"/>
        <v>0</v>
      </c>
      <c r="G97" s="52">
        <f t="shared" si="43"/>
        <v>0</v>
      </c>
      <c r="H97" s="53" t="e">
        <f t="shared" si="34"/>
        <v>#DIV/0!</v>
      </c>
      <c r="I97" s="54" t="e">
        <f t="shared" si="30"/>
        <v>#DIV/0!</v>
      </c>
      <c r="J97" s="55" t="e">
        <f t="shared" si="29"/>
        <v>#DIV/0!</v>
      </c>
      <c r="K97" s="54" t="e" cm="1">
        <f t="array" ref="K97">_xlfn.IFS(AND($C$7="Y",B97=C$4),0,AND($C$7="N",B97=C$4),0,TRUE,((D96-D97)-L97+N97))</f>
        <v>#DIV/0!</v>
      </c>
      <c r="L97" s="51" t="e">
        <f t="shared" si="35"/>
        <v>#DIV/0!</v>
      </c>
      <c r="M97" s="51">
        <f t="shared" si="28"/>
        <v>0</v>
      </c>
      <c r="N97" s="51">
        <f t="shared" si="45"/>
        <v>0</v>
      </c>
      <c r="O97" s="48" t="e">
        <f t="shared" si="44"/>
        <v>#DIV/0!</v>
      </c>
      <c r="P97" s="37" t="e">
        <f t="shared" si="36"/>
        <v>#DIV/0!</v>
      </c>
      <c r="Q97" s="56"/>
      <c r="R97" s="56">
        <f t="shared" si="37"/>
        <v>0.12</v>
      </c>
      <c r="S97" s="56">
        <f t="shared" si="38"/>
        <v>1.0596241035318976E-2</v>
      </c>
      <c r="T97" s="56">
        <f t="shared" si="39"/>
        <v>8.0519338057870024E-2</v>
      </c>
      <c r="U97" s="56">
        <f t="shared" si="42"/>
        <v>6.9711104768118703E-3</v>
      </c>
      <c r="V97" s="37" t="e">
        <f t="shared" si="40"/>
        <v>#DIV/0!</v>
      </c>
    </row>
    <row r="98" spans="2:22" x14ac:dyDescent="0.2">
      <c r="B98" s="50">
        <f t="shared" si="31"/>
        <v>87</v>
      </c>
      <c r="C98" s="53" t="e">
        <f t="shared" si="32"/>
        <v>#DIV/0!</v>
      </c>
      <c r="D98" s="47" t="e" cm="1">
        <f t="array" ref="D98">_xlfn.IFS(AND($C$7="Y",B98&lt;C$4),D97,AND(C$7="N",B98&lt;C$4, C$6=0),D97,AND($C$7="Y",B98=C$4),D97+F98-L98+N98-J98,AND($C$7="Y",B98&gt;C$4),(D97-J98)*(1-S98-U98), TRUE, (D97-J98)*(1-S98-U98))</f>
        <v>#DIV/0!</v>
      </c>
      <c r="E98" s="48">
        <f t="shared" si="33"/>
        <v>0</v>
      </c>
      <c r="F98" s="52">
        <f t="shared" si="41"/>
        <v>0</v>
      </c>
      <c r="G98" s="52">
        <f t="shared" si="43"/>
        <v>0</v>
      </c>
      <c r="H98" s="53" t="e">
        <f t="shared" si="34"/>
        <v>#DIV/0!</v>
      </c>
      <c r="I98" s="54" t="e">
        <f t="shared" si="30"/>
        <v>#DIV/0!</v>
      </c>
      <c r="J98" s="55" t="e">
        <f t="shared" si="29"/>
        <v>#DIV/0!</v>
      </c>
      <c r="K98" s="54" t="e" cm="1">
        <f t="array" ref="K98">_xlfn.IFS(AND($C$7="Y",B98=C$4),0,AND($C$7="N",B98=C$4),0,TRUE,((D97-D98)-L98+N98))</f>
        <v>#DIV/0!</v>
      </c>
      <c r="L98" s="51" t="e">
        <f t="shared" si="35"/>
        <v>#DIV/0!</v>
      </c>
      <c r="M98" s="51">
        <f t="shared" si="28"/>
        <v>0</v>
      </c>
      <c r="N98" s="51">
        <f t="shared" si="45"/>
        <v>0</v>
      </c>
      <c r="O98" s="48" t="e">
        <f t="shared" si="44"/>
        <v>#DIV/0!</v>
      </c>
      <c r="P98" s="37" t="e">
        <f t="shared" si="36"/>
        <v>#DIV/0!</v>
      </c>
      <c r="Q98" s="56"/>
      <c r="R98" s="56">
        <f t="shared" si="37"/>
        <v>0.12</v>
      </c>
      <c r="S98" s="56">
        <f t="shared" si="38"/>
        <v>1.0596241035318976E-2</v>
      </c>
      <c r="T98" s="56">
        <f t="shared" si="39"/>
        <v>8.0519338057870024E-2</v>
      </c>
      <c r="U98" s="56">
        <f t="shared" si="42"/>
        <v>6.9711104768118703E-3</v>
      </c>
      <c r="V98" s="37" t="e">
        <f t="shared" si="40"/>
        <v>#DIV/0!</v>
      </c>
    </row>
    <row r="99" spans="2:22" x14ac:dyDescent="0.2">
      <c r="B99" s="50">
        <f t="shared" si="31"/>
        <v>88</v>
      </c>
      <c r="C99" s="53" t="e">
        <f t="shared" si="32"/>
        <v>#DIV/0!</v>
      </c>
      <c r="D99" s="47" t="e" cm="1">
        <f t="array" ref="D99">_xlfn.IFS(AND($C$7="Y",B99&lt;C$4),D98,AND(C$7="N",B99&lt;C$4, C$6=0),D98,AND($C$7="Y",B99=C$4),D98+F99-L99+N99-J99,AND($C$7="Y",B99&gt;C$4),(D98-J99)*(1-S99-U99), TRUE, (D98-J99)*(1-S99-U99))</f>
        <v>#DIV/0!</v>
      </c>
      <c r="E99" s="48">
        <f t="shared" si="33"/>
        <v>0</v>
      </c>
      <c r="F99" s="52">
        <f t="shared" si="41"/>
        <v>0</v>
      </c>
      <c r="G99" s="52">
        <f t="shared" si="43"/>
        <v>0</v>
      </c>
      <c r="H99" s="53" t="e">
        <f t="shared" si="34"/>
        <v>#DIV/0!</v>
      </c>
      <c r="I99" s="54" t="e">
        <f t="shared" si="30"/>
        <v>#DIV/0!</v>
      </c>
      <c r="J99" s="55" t="e">
        <f t="shared" si="29"/>
        <v>#DIV/0!</v>
      </c>
      <c r="K99" s="54" t="e" cm="1">
        <f t="array" ref="K99">_xlfn.IFS(AND($C$7="Y",B99=C$4),0,AND($C$7="N",B99=C$4),0,TRUE,((D98-D99)-L99+N99))</f>
        <v>#DIV/0!</v>
      </c>
      <c r="L99" s="51" t="e">
        <f t="shared" si="35"/>
        <v>#DIV/0!</v>
      </c>
      <c r="M99" s="51">
        <f t="shared" si="28"/>
        <v>0</v>
      </c>
      <c r="N99" s="51">
        <f t="shared" si="45"/>
        <v>0</v>
      </c>
      <c r="O99" s="48" t="e">
        <f t="shared" si="44"/>
        <v>#DIV/0!</v>
      </c>
      <c r="P99" s="37" t="e">
        <f t="shared" si="36"/>
        <v>#DIV/0!</v>
      </c>
      <c r="Q99" s="56"/>
      <c r="R99" s="56">
        <f t="shared" si="37"/>
        <v>0.12</v>
      </c>
      <c r="S99" s="56">
        <f t="shared" si="38"/>
        <v>1.0596241035318976E-2</v>
      </c>
      <c r="T99" s="56">
        <f t="shared" si="39"/>
        <v>8.0519338057870024E-2</v>
      </c>
      <c r="U99" s="56">
        <f t="shared" si="42"/>
        <v>6.9711104768118703E-3</v>
      </c>
      <c r="V99" s="37" t="e">
        <f t="shared" si="40"/>
        <v>#DIV/0!</v>
      </c>
    </row>
    <row r="100" spans="2:22" x14ac:dyDescent="0.2">
      <c r="B100" s="50">
        <f t="shared" si="31"/>
        <v>89</v>
      </c>
      <c r="C100" s="53" t="e">
        <f t="shared" si="32"/>
        <v>#DIV/0!</v>
      </c>
      <c r="D100" s="47" t="e" cm="1">
        <f t="array" ref="D100">_xlfn.IFS(AND($C$7="Y",B100&lt;C$4),D99,AND(C$7="N",B100&lt;C$4, C$6=0),D99,AND($C$7="Y",B100=C$4),D99+F100-L100+N100-J100,AND($C$7="Y",B100&gt;C$4),(D99-J100)*(1-S100-U100), TRUE, (D99-J100)*(1-S100-U100))</f>
        <v>#DIV/0!</v>
      </c>
      <c r="E100" s="48">
        <f t="shared" si="33"/>
        <v>0</v>
      </c>
      <c r="F100" s="52">
        <f t="shared" si="41"/>
        <v>0</v>
      </c>
      <c r="G100" s="52">
        <f t="shared" si="43"/>
        <v>0</v>
      </c>
      <c r="H100" s="53" t="e">
        <f t="shared" si="34"/>
        <v>#DIV/0!</v>
      </c>
      <c r="I100" s="54" t="e">
        <f t="shared" si="30"/>
        <v>#DIV/0!</v>
      </c>
      <c r="J100" s="55" t="e">
        <f t="shared" si="29"/>
        <v>#DIV/0!</v>
      </c>
      <c r="K100" s="54" t="e" cm="1">
        <f t="array" ref="K100">_xlfn.IFS(AND($C$7="Y",B100=C$4),0,AND($C$7="N",B100=C$4),0,TRUE,((D99-D100)-L100+N100))</f>
        <v>#DIV/0!</v>
      </c>
      <c r="L100" s="51" t="e">
        <f t="shared" si="35"/>
        <v>#DIV/0!</v>
      </c>
      <c r="M100" s="51">
        <f t="shared" si="28"/>
        <v>0</v>
      </c>
      <c r="N100" s="51">
        <f t="shared" si="45"/>
        <v>0</v>
      </c>
      <c r="O100" s="48" t="e">
        <f t="shared" si="44"/>
        <v>#DIV/0!</v>
      </c>
      <c r="P100" s="37" t="e">
        <f t="shared" si="36"/>
        <v>#DIV/0!</v>
      </c>
      <c r="Q100" s="56"/>
      <c r="R100" s="56">
        <f t="shared" si="37"/>
        <v>0.12</v>
      </c>
      <c r="S100" s="56">
        <f t="shared" si="38"/>
        <v>1.0596241035318976E-2</v>
      </c>
      <c r="T100" s="56">
        <f t="shared" si="39"/>
        <v>8.0519338057870024E-2</v>
      </c>
      <c r="U100" s="56">
        <f t="shared" si="42"/>
        <v>6.9711104768118703E-3</v>
      </c>
      <c r="V100" s="37" t="e">
        <f t="shared" si="40"/>
        <v>#DIV/0!</v>
      </c>
    </row>
    <row r="101" spans="2:22" x14ac:dyDescent="0.2">
      <c r="B101" s="50">
        <f t="shared" si="31"/>
        <v>90</v>
      </c>
      <c r="C101" s="53" t="e">
        <f t="shared" si="32"/>
        <v>#DIV/0!</v>
      </c>
      <c r="D101" s="47" t="e" cm="1">
        <f t="array" ref="D101">_xlfn.IFS(AND($C$7="Y",B101&lt;C$4),D100,AND(C$7="N",B101&lt;C$4, C$6=0),D100,AND($C$7="Y",B101=C$4),D100+F101-L101+N101-J101,AND($C$7="Y",B101&gt;C$4),(D100-J101)*(1-S101-U101), TRUE, (D100-J101)*(1-S101-U101))</f>
        <v>#DIV/0!</v>
      </c>
      <c r="E101" s="48">
        <f t="shared" si="33"/>
        <v>0</v>
      </c>
      <c r="F101" s="52">
        <f t="shared" si="41"/>
        <v>0</v>
      </c>
      <c r="G101" s="52">
        <f t="shared" si="43"/>
        <v>0</v>
      </c>
      <c r="H101" s="53" t="e">
        <f t="shared" si="34"/>
        <v>#DIV/0!</v>
      </c>
      <c r="I101" s="54" t="e">
        <f t="shared" si="30"/>
        <v>#DIV/0!</v>
      </c>
      <c r="J101" s="55" t="e">
        <f t="shared" si="29"/>
        <v>#DIV/0!</v>
      </c>
      <c r="K101" s="54" t="e" cm="1">
        <f t="array" ref="K101">_xlfn.IFS(AND($C$7="Y",B101=C$4),0,AND($C$7="N",B101=C$4),0,TRUE,((D100-D101)-L101+N101))</f>
        <v>#DIV/0!</v>
      </c>
      <c r="L101" s="51" t="e">
        <f t="shared" si="35"/>
        <v>#DIV/0!</v>
      </c>
      <c r="M101" s="51">
        <f t="shared" si="28"/>
        <v>0</v>
      </c>
      <c r="N101" s="51">
        <f t="shared" si="45"/>
        <v>0</v>
      </c>
      <c r="O101" s="48" t="e">
        <f t="shared" si="44"/>
        <v>#DIV/0!</v>
      </c>
      <c r="P101" s="37" t="e">
        <f t="shared" si="36"/>
        <v>#DIV/0!</v>
      </c>
      <c r="Q101" s="56"/>
      <c r="R101" s="56">
        <f t="shared" si="37"/>
        <v>0.12</v>
      </c>
      <c r="S101" s="56">
        <f t="shared" si="38"/>
        <v>1.0596241035318976E-2</v>
      </c>
      <c r="T101" s="56">
        <f t="shared" si="39"/>
        <v>8.0519338057870024E-2</v>
      </c>
      <c r="U101" s="56">
        <f t="shared" si="42"/>
        <v>6.9711104768118703E-3</v>
      </c>
      <c r="V101" s="37" t="e">
        <f t="shared" si="40"/>
        <v>#DIV/0!</v>
      </c>
    </row>
    <row r="102" spans="2:22" x14ac:dyDescent="0.2">
      <c r="B102" s="50">
        <f t="shared" si="31"/>
        <v>91</v>
      </c>
      <c r="C102" s="53" t="e">
        <f t="shared" si="32"/>
        <v>#DIV/0!</v>
      </c>
      <c r="D102" s="47" t="e" cm="1">
        <f t="array" ref="D102">_xlfn.IFS(AND($C$7="Y",B102&lt;C$4),D101,AND(C$7="N",B102&lt;C$4, C$6=0),D101,AND($C$7="Y",B102=C$4),D101+F102-L102+N102-J102,AND($C$7="Y",B102&gt;C$4),(D101-J102)*(1-S102-U102), TRUE, (D101-J102)*(1-S102-U102))</f>
        <v>#DIV/0!</v>
      </c>
      <c r="E102" s="48">
        <f t="shared" si="33"/>
        <v>0</v>
      </c>
      <c r="F102" s="52">
        <f t="shared" si="41"/>
        <v>0</v>
      </c>
      <c r="G102" s="52">
        <f t="shared" si="43"/>
        <v>0</v>
      </c>
      <c r="H102" s="53" t="e">
        <f t="shared" si="34"/>
        <v>#DIV/0!</v>
      </c>
      <c r="I102" s="54" t="e">
        <f t="shared" si="30"/>
        <v>#DIV/0!</v>
      </c>
      <c r="J102" s="55" t="e">
        <f t="shared" si="29"/>
        <v>#DIV/0!</v>
      </c>
      <c r="K102" s="54" t="e" cm="1">
        <f t="array" ref="K102">_xlfn.IFS(AND($C$7="Y",B102=C$4),0,AND($C$7="N",B102=C$4),0,TRUE,((D101-D102)-L102+N102))</f>
        <v>#DIV/0!</v>
      </c>
      <c r="L102" s="51" t="e">
        <f t="shared" si="35"/>
        <v>#DIV/0!</v>
      </c>
      <c r="M102" s="51">
        <f t="shared" si="28"/>
        <v>0</v>
      </c>
      <c r="N102" s="51">
        <f t="shared" si="45"/>
        <v>0</v>
      </c>
      <c r="O102" s="48" t="e">
        <f t="shared" si="44"/>
        <v>#DIV/0!</v>
      </c>
      <c r="P102" s="37" t="e">
        <f t="shared" si="36"/>
        <v>#DIV/0!</v>
      </c>
      <c r="Q102" s="56"/>
      <c r="R102" s="56">
        <f t="shared" si="37"/>
        <v>0.12</v>
      </c>
      <c r="S102" s="56">
        <f t="shared" si="38"/>
        <v>1.0596241035318976E-2</v>
      </c>
      <c r="T102" s="56">
        <f t="shared" si="39"/>
        <v>8.0519338057870024E-2</v>
      </c>
      <c r="U102" s="56">
        <f t="shared" si="42"/>
        <v>6.9711104768118703E-3</v>
      </c>
      <c r="V102" s="37" t="e">
        <f t="shared" si="40"/>
        <v>#DIV/0!</v>
      </c>
    </row>
    <row r="103" spans="2:22" x14ac:dyDescent="0.2">
      <c r="B103" s="50">
        <f t="shared" si="31"/>
        <v>92</v>
      </c>
      <c r="C103" s="53" t="e">
        <f t="shared" si="32"/>
        <v>#DIV/0!</v>
      </c>
      <c r="D103" s="47" t="e" cm="1">
        <f t="array" ref="D103">_xlfn.IFS(AND($C$7="Y",B103&lt;C$4),D102,AND(C$7="N",B103&lt;C$4, C$6=0),D102,AND($C$7="Y",B103=C$4),D102+F103-L103+N103-J103,AND($C$7="Y",B103&gt;C$4),(D102-J103)*(1-S103-U103), TRUE, (D102-J103)*(1-S103-U103))</f>
        <v>#DIV/0!</v>
      </c>
      <c r="E103" s="48">
        <f t="shared" si="33"/>
        <v>0</v>
      </c>
      <c r="F103" s="52">
        <f t="shared" si="41"/>
        <v>0</v>
      </c>
      <c r="G103" s="52">
        <f t="shared" si="43"/>
        <v>0</v>
      </c>
      <c r="H103" s="53" t="e">
        <f t="shared" si="34"/>
        <v>#DIV/0!</v>
      </c>
      <c r="I103" s="54" t="e">
        <f t="shared" si="30"/>
        <v>#DIV/0!</v>
      </c>
      <c r="J103" s="55" t="e">
        <f t="shared" si="29"/>
        <v>#DIV/0!</v>
      </c>
      <c r="K103" s="54" t="e" cm="1">
        <f t="array" ref="K103">_xlfn.IFS(AND($C$7="Y",B103=C$4),0,AND($C$7="N",B103=C$4),0,TRUE,((D102-D103)-L103+N103))</f>
        <v>#DIV/0!</v>
      </c>
      <c r="L103" s="51" t="e">
        <f t="shared" si="35"/>
        <v>#DIV/0!</v>
      </c>
      <c r="M103" s="51">
        <f t="shared" si="28"/>
        <v>0</v>
      </c>
      <c r="N103" s="51">
        <f t="shared" si="45"/>
        <v>0</v>
      </c>
      <c r="O103" s="48" t="e">
        <f t="shared" si="44"/>
        <v>#DIV/0!</v>
      </c>
      <c r="P103" s="37" t="e">
        <f t="shared" si="36"/>
        <v>#DIV/0!</v>
      </c>
      <c r="Q103" s="56"/>
      <c r="R103" s="56">
        <f t="shared" si="37"/>
        <v>0.12</v>
      </c>
      <c r="S103" s="56">
        <f t="shared" si="38"/>
        <v>1.0596241035318976E-2</v>
      </c>
      <c r="T103" s="56">
        <f t="shared" si="39"/>
        <v>8.0519338057870024E-2</v>
      </c>
      <c r="U103" s="56">
        <f t="shared" si="42"/>
        <v>6.9711104768118703E-3</v>
      </c>
      <c r="V103" s="37" t="e">
        <f t="shared" si="40"/>
        <v>#DIV/0!</v>
      </c>
    </row>
    <row r="104" spans="2:22" x14ac:dyDescent="0.2">
      <c r="B104" s="50">
        <f t="shared" si="31"/>
        <v>93</v>
      </c>
      <c r="C104" s="53" t="e">
        <f t="shared" si="32"/>
        <v>#DIV/0!</v>
      </c>
      <c r="D104" s="47" t="e" cm="1">
        <f t="array" ref="D104">_xlfn.IFS(AND($C$7="Y",B104&lt;C$4),D103,AND(C$7="N",B104&lt;C$4, C$6=0),D103,AND($C$7="Y",B104=C$4),D103+F104-L104+N104-J104,AND($C$7="Y",B104&gt;C$4),(D103-J104)*(1-S104-U104), TRUE, (D103-J104)*(1-S104-U104))</f>
        <v>#DIV/0!</v>
      </c>
      <c r="E104" s="48">
        <f t="shared" si="33"/>
        <v>0</v>
      </c>
      <c r="F104" s="52">
        <f t="shared" si="41"/>
        <v>0</v>
      </c>
      <c r="G104" s="52">
        <f t="shared" si="43"/>
        <v>0</v>
      </c>
      <c r="H104" s="53" t="e">
        <f t="shared" si="34"/>
        <v>#DIV/0!</v>
      </c>
      <c r="I104" s="54" t="e">
        <f t="shared" si="30"/>
        <v>#DIV/0!</v>
      </c>
      <c r="J104" s="55" t="e">
        <f t="shared" si="29"/>
        <v>#DIV/0!</v>
      </c>
      <c r="K104" s="54" t="e" cm="1">
        <f t="array" ref="K104">_xlfn.IFS(AND($C$7="Y",B104=C$4),0,AND($C$7="N",B104=C$4),0,TRUE,((D103-D104)-L104+N104))</f>
        <v>#DIV/0!</v>
      </c>
      <c r="L104" s="51" t="e">
        <f t="shared" si="35"/>
        <v>#DIV/0!</v>
      </c>
      <c r="M104" s="51">
        <f t="shared" si="28"/>
        <v>0</v>
      </c>
      <c r="N104" s="51">
        <f t="shared" si="45"/>
        <v>0</v>
      </c>
      <c r="O104" s="48" t="e">
        <f t="shared" si="44"/>
        <v>#DIV/0!</v>
      </c>
      <c r="P104" s="37" t="e">
        <f t="shared" si="36"/>
        <v>#DIV/0!</v>
      </c>
      <c r="Q104" s="56"/>
      <c r="R104" s="56">
        <f t="shared" si="37"/>
        <v>0.12</v>
      </c>
      <c r="S104" s="56">
        <f t="shared" si="38"/>
        <v>1.0596241035318976E-2</v>
      </c>
      <c r="T104" s="56">
        <f t="shared" si="39"/>
        <v>8.0519338057870024E-2</v>
      </c>
      <c r="U104" s="56">
        <f t="shared" si="42"/>
        <v>6.9711104768118703E-3</v>
      </c>
      <c r="V104" s="37" t="e">
        <f t="shared" si="40"/>
        <v>#DIV/0!</v>
      </c>
    </row>
    <row r="105" spans="2:22" x14ac:dyDescent="0.2">
      <c r="B105" s="50">
        <f t="shared" si="31"/>
        <v>94</v>
      </c>
      <c r="C105" s="53" t="e">
        <f t="shared" si="32"/>
        <v>#DIV/0!</v>
      </c>
      <c r="D105" s="47" t="e" cm="1">
        <f t="array" ref="D105">_xlfn.IFS(AND($C$7="Y",B105&lt;C$4),D104,AND(C$7="N",B105&lt;C$4, C$6=0),D104,AND($C$7="Y",B105=C$4),D104+F105-L105+N105-J105,AND($C$7="Y",B105&gt;C$4),(D104-J105)*(1-S105-U105), TRUE, (D104-J105)*(1-S105-U105))</f>
        <v>#DIV/0!</v>
      </c>
      <c r="E105" s="48">
        <f t="shared" si="33"/>
        <v>0</v>
      </c>
      <c r="F105" s="52">
        <f t="shared" si="41"/>
        <v>0</v>
      </c>
      <c r="G105" s="52">
        <f t="shared" si="43"/>
        <v>0</v>
      </c>
      <c r="H105" s="53" t="e">
        <f t="shared" si="34"/>
        <v>#DIV/0!</v>
      </c>
      <c r="I105" s="54" t="e">
        <f t="shared" si="30"/>
        <v>#DIV/0!</v>
      </c>
      <c r="J105" s="55" t="e">
        <f t="shared" si="29"/>
        <v>#DIV/0!</v>
      </c>
      <c r="K105" s="54" t="e" cm="1">
        <f t="array" ref="K105">_xlfn.IFS(AND($C$7="Y",B105=C$4),0,AND($C$7="N",B105=C$4),0,TRUE,((D104-D105)-L105+N105))</f>
        <v>#DIV/0!</v>
      </c>
      <c r="L105" s="51" t="e">
        <f t="shared" si="35"/>
        <v>#DIV/0!</v>
      </c>
      <c r="M105" s="51">
        <f t="shared" si="28"/>
        <v>0</v>
      </c>
      <c r="N105" s="51">
        <f t="shared" si="45"/>
        <v>0</v>
      </c>
      <c r="O105" s="48" t="e">
        <f t="shared" si="44"/>
        <v>#DIV/0!</v>
      </c>
      <c r="P105" s="37" t="e">
        <f t="shared" si="36"/>
        <v>#DIV/0!</v>
      </c>
      <c r="Q105" s="56"/>
      <c r="R105" s="56">
        <f t="shared" si="37"/>
        <v>0.12</v>
      </c>
      <c r="S105" s="56">
        <f t="shared" si="38"/>
        <v>1.0596241035318976E-2</v>
      </c>
      <c r="T105" s="56">
        <f t="shared" si="39"/>
        <v>8.0519338057870024E-2</v>
      </c>
      <c r="U105" s="56">
        <f t="shared" si="42"/>
        <v>6.9711104768118703E-3</v>
      </c>
      <c r="V105" s="37" t="e">
        <f t="shared" si="40"/>
        <v>#DIV/0!</v>
      </c>
    </row>
    <row r="106" spans="2:22" x14ac:dyDescent="0.2">
      <c r="B106" s="50">
        <f t="shared" si="31"/>
        <v>95</v>
      </c>
      <c r="C106" s="53" t="e">
        <f t="shared" si="32"/>
        <v>#DIV/0!</v>
      </c>
      <c r="D106" s="47" t="e" cm="1">
        <f t="array" ref="D106">_xlfn.IFS(AND($C$7="Y",B106&lt;C$4),D105,AND(C$7="N",B106&lt;C$4, C$6=0),D105,AND($C$7="Y",B106=C$4),D105+F106-L106+N106-J106,AND($C$7="Y",B106&gt;C$4),(D105-J106)*(1-S106-U106), TRUE, (D105-J106)*(1-S106-U106))</f>
        <v>#DIV/0!</v>
      </c>
      <c r="E106" s="48">
        <f t="shared" si="33"/>
        <v>0</v>
      </c>
      <c r="F106" s="52">
        <f t="shared" si="41"/>
        <v>0</v>
      </c>
      <c r="G106" s="52">
        <f t="shared" si="43"/>
        <v>0</v>
      </c>
      <c r="H106" s="53" t="e">
        <f t="shared" si="34"/>
        <v>#DIV/0!</v>
      </c>
      <c r="I106" s="54" t="e">
        <f t="shared" si="30"/>
        <v>#DIV/0!</v>
      </c>
      <c r="J106" s="55" t="e">
        <f t="shared" si="29"/>
        <v>#DIV/0!</v>
      </c>
      <c r="K106" s="54" t="e" cm="1">
        <f t="array" ref="K106">_xlfn.IFS(AND($C$7="Y",B106=C$4),0,AND($C$7="N",B106=C$4),0,TRUE,((D105-D106)-L106+N106))</f>
        <v>#DIV/0!</v>
      </c>
      <c r="L106" s="51" t="e">
        <f t="shared" si="35"/>
        <v>#DIV/0!</v>
      </c>
      <c r="M106" s="51">
        <f t="shared" ref="M106:M169" si="46">IFERROR(L102*-1,0)</f>
        <v>0</v>
      </c>
      <c r="N106" s="51">
        <f t="shared" si="45"/>
        <v>0</v>
      </c>
      <c r="O106" s="48" t="e">
        <f t="shared" si="44"/>
        <v>#DIV/0!</v>
      </c>
      <c r="P106" s="37" t="e">
        <f t="shared" si="36"/>
        <v>#DIV/0!</v>
      </c>
      <c r="Q106" s="56"/>
      <c r="R106" s="56">
        <f t="shared" si="37"/>
        <v>0.12</v>
      </c>
      <c r="S106" s="56">
        <f t="shared" si="38"/>
        <v>1.0596241035318976E-2</v>
      </c>
      <c r="T106" s="56">
        <f t="shared" si="39"/>
        <v>8.0519338057870024E-2</v>
      </c>
      <c r="U106" s="56">
        <f t="shared" si="42"/>
        <v>6.9711104768118703E-3</v>
      </c>
      <c r="V106" s="37" t="e">
        <f t="shared" si="40"/>
        <v>#DIV/0!</v>
      </c>
    </row>
    <row r="107" spans="2:22" x14ac:dyDescent="0.2">
      <c r="B107" s="50">
        <f t="shared" si="31"/>
        <v>96</v>
      </c>
      <c r="C107" s="53" t="e">
        <f t="shared" si="32"/>
        <v>#DIV/0!</v>
      </c>
      <c r="D107" s="47" t="e" cm="1">
        <f t="array" ref="D107">_xlfn.IFS(AND($C$7="Y",B107&lt;C$4),D106,AND(C$7="N",B107&lt;C$4, C$6=0),D106,AND($C$7="Y",B107=C$4),D106+F107-L107+N107-J107,AND($C$7="Y",B107&gt;C$4),(D106-J107)*(1-S107-U107), TRUE, (D106-J107)*(1-S107-U107))</f>
        <v>#DIV/0!</v>
      </c>
      <c r="E107" s="48">
        <f t="shared" si="33"/>
        <v>0</v>
      </c>
      <c r="F107" s="52">
        <f t="shared" si="41"/>
        <v>0</v>
      </c>
      <c r="G107" s="52">
        <f t="shared" si="43"/>
        <v>0</v>
      </c>
      <c r="H107" s="53" t="e">
        <f t="shared" si="34"/>
        <v>#DIV/0!</v>
      </c>
      <c r="I107" s="54" t="e">
        <f t="shared" si="30"/>
        <v>#DIV/0!</v>
      </c>
      <c r="J107" s="55" t="e">
        <f t="shared" si="29"/>
        <v>#DIV/0!</v>
      </c>
      <c r="K107" s="54" t="e" cm="1">
        <f t="array" ref="K107">_xlfn.IFS(AND($C$7="Y",B107=C$4),0,AND($C$7="N",B107=C$4),0,TRUE,((D106-D107)-L107+N107))</f>
        <v>#DIV/0!</v>
      </c>
      <c r="L107" s="51" t="e">
        <f t="shared" si="35"/>
        <v>#DIV/0!</v>
      </c>
      <c r="M107" s="51">
        <f t="shared" si="46"/>
        <v>0</v>
      </c>
      <c r="N107" s="51">
        <f t="shared" si="45"/>
        <v>0</v>
      </c>
      <c r="O107" s="48" t="e">
        <f t="shared" si="44"/>
        <v>#DIV/0!</v>
      </c>
      <c r="P107" s="37" t="e">
        <f t="shared" si="36"/>
        <v>#DIV/0!</v>
      </c>
      <c r="Q107" s="56"/>
      <c r="R107" s="56">
        <f t="shared" si="37"/>
        <v>0.12</v>
      </c>
      <c r="S107" s="56">
        <f t="shared" si="38"/>
        <v>1.0596241035318976E-2</v>
      </c>
      <c r="T107" s="56">
        <f t="shared" si="39"/>
        <v>8.0519338057870024E-2</v>
      </c>
      <c r="U107" s="56">
        <f t="shared" si="42"/>
        <v>6.9711104768118703E-3</v>
      </c>
      <c r="V107" s="37" t="e">
        <f t="shared" si="40"/>
        <v>#DIV/0!</v>
      </c>
    </row>
    <row r="108" spans="2:22" x14ac:dyDescent="0.2">
      <c r="B108" s="50">
        <f t="shared" si="31"/>
        <v>97</v>
      </c>
      <c r="C108" s="53" t="e">
        <f t="shared" si="32"/>
        <v>#DIV/0!</v>
      </c>
      <c r="D108" s="47" t="e" cm="1">
        <f t="array" ref="D108">_xlfn.IFS(AND($C$7="Y",B108&lt;C$4),D107,AND(C$7="N",B108&lt;C$4, C$6=0),D107,AND($C$7="Y",B108=C$4),D107+F108-L108+N108-J108,AND($C$7="Y",B108&gt;C$4),(D107-J108)*(1-S108-U108), TRUE, (D107-J108)*(1-S108-U108))</f>
        <v>#DIV/0!</v>
      </c>
      <c r="E108" s="48">
        <f t="shared" si="33"/>
        <v>0</v>
      </c>
      <c r="F108" s="52">
        <f t="shared" si="41"/>
        <v>0</v>
      </c>
      <c r="G108" s="52">
        <f t="shared" si="43"/>
        <v>0</v>
      </c>
      <c r="H108" s="53" t="e">
        <f t="shared" si="34"/>
        <v>#DIV/0!</v>
      </c>
      <c r="I108" s="54" t="e">
        <f t="shared" si="30"/>
        <v>#DIV/0!</v>
      </c>
      <c r="J108" s="55" t="e">
        <f t="shared" ref="J108:J171" si="47">IF(AND($B108&lt;=$C$4,C$7="Y"),0,IF(AND(C$7="N",C$4&gt;0,B108&lt;=C$4),0,H108-I108-D107*U108*C$2/12))</f>
        <v>#DIV/0!</v>
      </c>
      <c r="K108" s="54" t="e" cm="1">
        <f t="array" ref="K108">_xlfn.IFS(AND($C$7="Y",B108=C$4),0,AND($C$7="N",B108=C$4),0,TRUE,((D107-D108)-L108+N108))</f>
        <v>#DIV/0!</v>
      </c>
      <c r="L108" s="51" t="e">
        <f t="shared" si="35"/>
        <v>#DIV/0!</v>
      </c>
      <c r="M108" s="51">
        <f t="shared" si="46"/>
        <v>0</v>
      </c>
      <c r="N108" s="51">
        <f t="shared" si="45"/>
        <v>0</v>
      </c>
      <c r="O108" s="48" t="e">
        <f t="shared" si="44"/>
        <v>#DIV/0!</v>
      </c>
      <c r="P108" s="37" t="e">
        <f t="shared" si="36"/>
        <v>#DIV/0!</v>
      </c>
      <c r="Q108" s="56"/>
      <c r="R108" s="56">
        <f t="shared" si="37"/>
        <v>0.12</v>
      </c>
      <c r="S108" s="56">
        <f t="shared" si="38"/>
        <v>1.0596241035318976E-2</v>
      </c>
      <c r="T108" s="56">
        <f t="shared" si="39"/>
        <v>8.0519338057870024E-2</v>
      </c>
      <c r="U108" s="56">
        <f t="shared" si="42"/>
        <v>6.9711104768118703E-3</v>
      </c>
      <c r="V108" s="37" t="e">
        <f t="shared" si="40"/>
        <v>#DIV/0!</v>
      </c>
    </row>
    <row r="109" spans="2:22" x14ac:dyDescent="0.2">
      <c r="B109" s="50">
        <f t="shared" si="31"/>
        <v>98</v>
      </c>
      <c r="C109" s="53" t="e">
        <f t="shared" si="32"/>
        <v>#DIV/0!</v>
      </c>
      <c r="D109" s="47" t="e" cm="1">
        <f t="array" ref="D109">_xlfn.IFS(AND($C$7="Y",B109&lt;C$4),D108,AND(C$7="N",B109&lt;C$4, C$6=0),D108,AND($C$7="Y",B109=C$4),D108+F109-L109+N109-J109,AND($C$7="Y",B109&gt;C$4),(D108-J109)*(1-S109-U109), TRUE, (D108-J109)*(1-S109-U109))</f>
        <v>#DIV/0!</v>
      </c>
      <c r="E109" s="48">
        <f t="shared" si="33"/>
        <v>0</v>
      </c>
      <c r="F109" s="52">
        <f t="shared" si="41"/>
        <v>0</v>
      </c>
      <c r="G109" s="52">
        <f t="shared" si="43"/>
        <v>0</v>
      </c>
      <c r="H109" s="53" t="e">
        <f t="shared" si="34"/>
        <v>#DIV/0!</v>
      </c>
      <c r="I109" s="54" t="e">
        <f t="shared" si="30"/>
        <v>#DIV/0!</v>
      </c>
      <c r="J109" s="55" t="e">
        <f t="shared" si="47"/>
        <v>#DIV/0!</v>
      </c>
      <c r="K109" s="54" t="e" cm="1">
        <f t="array" ref="K109">_xlfn.IFS(AND($C$7="Y",B109=C$4),0,AND($C$7="N",B109=C$4),0,TRUE,((D108-D109)-L109+N109))</f>
        <v>#DIV/0!</v>
      </c>
      <c r="L109" s="51" t="e">
        <f t="shared" si="35"/>
        <v>#DIV/0!</v>
      </c>
      <c r="M109" s="51">
        <f t="shared" si="46"/>
        <v>0</v>
      </c>
      <c r="N109" s="51">
        <f t="shared" si="45"/>
        <v>0</v>
      </c>
      <c r="O109" s="48" t="e">
        <f t="shared" si="44"/>
        <v>#DIV/0!</v>
      </c>
      <c r="P109" s="37" t="e">
        <f t="shared" si="36"/>
        <v>#DIV/0!</v>
      </c>
      <c r="Q109" s="56"/>
      <c r="R109" s="56">
        <f t="shared" si="37"/>
        <v>0.12</v>
      </c>
      <c r="S109" s="56">
        <f t="shared" si="38"/>
        <v>1.0596241035318976E-2</v>
      </c>
      <c r="T109" s="56">
        <f t="shared" si="39"/>
        <v>8.0519338057870024E-2</v>
      </c>
      <c r="U109" s="56">
        <f t="shared" si="42"/>
        <v>6.9711104768118703E-3</v>
      </c>
      <c r="V109" s="37" t="e">
        <f t="shared" si="40"/>
        <v>#DIV/0!</v>
      </c>
    </row>
    <row r="110" spans="2:22" x14ac:dyDescent="0.2">
      <c r="B110" s="50">
        <f t="shared" si="31"/>
        <v>99</v>
      </c>
      <c r="C110" s="53" t="e">
        <f t="shared" si="32"/>
        <v>#DIV/0!</v>
      </c>
      <c r="D110" s="47" t="e" cm="1">
        <f t="array" ref="D110">_xlfn.IFS(AND($C$7="Y",B110&lt;C$4),D109,AND(C$7="N",B110&lt;C$4, C$6=0),D109,AND($C$7="Y",B110=C$4),D109+F110-L110+N110-J110,AND($C$7="Y",B110&gt;C$4),(D109-J110)*(1-S110-U110), TRUE, (D109-J110)*(1-S110-U110))</f>
        <v>#DIV/0!</v>
      </c>
      <c r="E110" s="48">
        <f t="shared" si="33"/>
        <v>0</v>
      </c>
      <c r="F110" s="52">
        <f t="shared" si="41"/>
        <v>0</v>
      </c>
      <c r="G110" s="52">
        <f t="shared" si="43"/>
        <v>0</v>
      </c>
      <c r="H110" s="53" t="e">
        <f t="shared" si="34"/>
        <v>#DIV/0!</v>
      </c>
      <c r="I110" s="54" t="e">
        <f t="shared" ref="I110:I173" si="48">IF(AND(C$7="Y",$B110&lt;=C$4),0,IF(AND(C$7="Y",$B110&gt;C$4),(1-U110)*C$2*D109/12,IF(AND($C$7="N",C$4&gt;0),(1-U110)*D109*C$2/12, (1-U110)*D109*C$2/12)))</f>
        <v>#DIV/0!</v>
      </c>
      <c r="J110" s="55" t="e">
        <f t="shared" si="47"/>
        <v>#DIV/0!</v>
      </c>
      <c r="K110" s="54" t="e" cm="1">
        <f t="array" ref="K110">_xlfn.IFS(AND($C$7="Y",B110=C$4),0,AND($C$7="N",B110=C$4),0,TRUE,((D109-D110)-L110+N110))</f>
        <v>#DIV/0!</v>
      </c>
      <c r="L110" s="51" t="e">
        <f t="shared" si="35"/>
        <v>#DIV/0!</v>
      </c>
      <c r="M110" s="51">
        <f t="shared" si="46"/>
        <v>0</v>
      </c>
      <c r="N110" s="51">
        <f t="shared" si="45"/>
        <v>0</v>
      </c>
      <c r="O110" s="48" t="e">
        <f t="shared" si="44"/>
        <v>#DIV/0!</v>
      </c>
      <c r="P110" s="37" t="e">
        <f t="shared" si="36"/>
        <v>#DIV/0!</v>
      </c>
      <c r="Q110" s="56"/>
      <c r="R110" s="56">
        <f t="shared" si="37"/>
        <v>0.12</v>
      </c>
      <c r="S110" s="56">
        <f t="shared" si="38"/>
        <v>1.0596241035318976E-2</v>
      </c>
      <c r="T110" s="56">
        <f t="shared" si="39"/>
        <v>8.0519338057870024E-2</v>
      </c>
      <c r="U110" s="56">
        <f t="shared" si="42"/>
        <v>6.9711104768118703E-3</v>
      </c>
      <c r="V110" s="37" t="e">
        <f t="shared" si="40"/>
        <v>#DIV/0!</v>
      </c>
    </row>
    <row r="111" spans="2:22" x14ac:dyDescent="0.2">
      <c r="B111" s="50">
        <f t="shared" si="31"/>
        <v>100</v>
      </c>
      <c r="C111" s="53" t="e">
        <f t="shared" si="32"/>
        <v>#DIV/0!</v>
      </c>
      <c r="D111" s="47" t="e" cm="1">
        <f t="array" ref="D111">_xlfn.IFS(AND($C$7="Y",B111&lt;C$4),D110,AND(C$7="N",B111&lt;C$4, C$6=0),D110,AND($C$7="Y",B111=C$4),D110+F111-L111+N111-J111,AND($C$7="Y",B111&gt;C$4),(D110-J111)*(1-S111-U111), TRUE, (D110-J111)*(1-S111-U111))</f>
        <v>#DIV/0!</v>
      </c>
      <c r="E111" s="48">
        <f t="shared" si="33"/>
        <v>0</v>
      </c>
      <c r="F111" s="52">
        <f t="shared" si="41"/>
        <v>0</v>
      </c>
      <c r="G111" s="52">
        <f t="shared" si="43"/>
        <v>0</v>
      </c>
      <c r="H111" s="53" t="e">
        <f t="shared" si="34"/>
        <v>#DIV/0!</v>
      </c>
      <c r="I111" s="54" t="e">
        <f t="shared" si="48"/>
        <v>#DIV/0!</v>
      </c>
      <c r="J111" s="55" t="e">
        <f t="shared" si="47"/>
        <v>#DIV/0!</v>
      </c>
      <c r="K111" s="54" t="e" cm="1">
        <f t="array" ref="K111">_xlfn.IFS(AND($C$7="Y",B111=C$4),0,AND($C$7="N",B111=C$4),0,TRUE,((D110-D111)-L111+N111))</f>
        <v>#DIV/0!</v>
      </c>
      <c r="L111" s="51" t="e">
        <f t="shared" si="35"/>
        <v>#DIV/0!</v>
      </c>
      <c r="M111" s="51">
        <f t="shared" si="46"/>
        <v>0</v>
      </c>
      <c r="N111" s="51">
        <f t="shared" si="45"/>
        <v>0</v>
      </c>
      <c r="O111" s="48" t="e">
        <f t="shared" si="44"/>
        <v>#DIV/0!</v>
      </c>
      <c r="P111" s="37" t="e">
        <f t="shared" si="36"/>
        <v>#DIV/0!</v>
      </c>
      <c r="Q111" s="56"/>
      <c r="R111" s="56">
        <f t="shared" si="37"/>
        <v>0.12</v>
      </c>
      <c r="S111" s="56">
        <f t="shared" si="38"/>
        <v>1.0596241035318976E-2</v>
      </c>
      <c r="T111" s="56">
        <f t="shared" si="39"/>
        <v>8.0519338057870024E-2</v>
      </c>
      <c r="U111" s="56">
        <f t="shared" si="42"/>
        <v>6.9711104768118703E-3</v>
      </c>
      <c r="V111" s="37" t="e">
        <f t="shared" si="40"/>
        <v>#DIV/0!</v>
      </c>
    </row>
    <row r="112" spans="2:22" x14ac:dyDescent="0.2">
      <c r="B112" s="50">
        <f t="shared" si="31"/>
        <v>101</v>
      </c>
      <c r="C112" s="53" t="e">
        <f t="shared" si="32"/>
        <v>#DIV/0!</v>
      </c>
      <c r="D112" s="47" t="e" cm="1">
        <f t="array" ref="D112">_xlfn.IFS(AND($C$7="Y",B112&lt;C$4),D111,AND(C$7="N",B112&lt;C$4, C$6=0),D111,AND($C$7="Y",B112=C$4),D111+F112-L112+N112-J112,AND($C$7="Y",B112&gt;C$4),(D111-J112)*(1-S112-U112), TRUE, (D111-J112)*(1-S112-U112))</f>
        <v>#DIV/0!</v>
      </c>
      <c r="E112" s="48">
        <f t="shared" si="33"/>
        <v>0</v>
      </c>
      <c r="F112" s="52">
        <f t="shared" si="41"/>
        <v>0</v>
      </c>
      <c r="G112" s="52">
        <f t="shared" si="43"/>
        <v>0</v>
      </c>
      <c r="H112" s="53" t="e">
        <f t="shared" si="34"/>
        <v>#DIV/0!</v>
      </c>
      <c r="I112" s="54" t="e">
        <f t="shared" si="48"/>
        <v>#DIV/0!</v>
      </c>
      <c r="J112" s="55" t="e">
        <f t="shared" si="47"/>
        <v>#DIV/0!</v>
      </c>
      <c r="K112" s="54" t="e" cm="1">
        <f t="array" ref="K112">_xlfn.IFS(AND($C$7="Y",B112=C$4),0,AND($C$7="N",B112=C$4),0,TRUE,((D111-D112)-L112+N112))</f>
        <v>#DIV/0!</v>
      </c>
      <c r="L112" s="51" t="e">
        <f t="shared" si="35"/>
        <v>#DIV/0!</v>
      </c>
      <c r="M112" s="51">
        <f t="shared" si="46"/>
        <v>0</v>
      </c>
      <c r="N112" s="51">
        <f t="shared" si="45"/>
        <v>0</v>
      </c>
      <c r="O112" s="48" t="e">
        <f t="shared" si="44"/>
        <v>#DIV/0!</v>
      </c>
      <c r="P112" s="37" t="e">
        <f t="shared" si="36"/>
        <v>#DIV/0!</v>
      </c>
      <c r="Q112" s="56"/>
      <c r="R112" s="56">
        <f t="shared" si="37"/>
        <v>0.12</v>
      </c>
      <c r="S112" s="56">
        <f t="shared" si="38"/>
        <v>1.0596241035318976E-2</v>
      </c>
      <c r="T112" s="56">
        <f t="shared" si="39"/>
        <v>8.0519338057870024E-2</v>
      </c>
      <c r="U112" s="56">
        <f t="shared" si="42"/>
        <v>6.9711104768118703E-3</v>
      </c>
      <c r="V112" s="37" t="e">
        <f t="shared" si="40"/>
        <v>#DIV/0!</v>
      </c>
    </row>
    <row r="113" spans="2:22" x14ac:dyDescent="0.2">
      <c r="B113" s="50">
        <f t="shared" si="31"/>
        <v>102</v>
      </c>
      <c r="C113" s="53" t="e">
        <f t="shared" si="32"/>
        <v>#DIV/0!</v>
      </c>
      <c r="D113" s="47" t="e" cm="1">
        <f t="array" ref="D113">_xlfn.IFS(AND($C$7="Y",B113&lt;C$4),D112,AND(C$7="N",B113&lt;C$4, C$6=0),D112,AND($C$7="Y",B113=C$4),D112+F113-L113+N113-J113,AND($C$7="Y",B113&gt;C$4),(D112-J113)*(1-S113-U113), TRUE, (D112-J113)*(1-S113-U113))</f>
        <v>#DIV/0!</v>
      </c>
      <c r="E113" s="48">
        <f t="shared" si="33"/>
        <v>0</v>
      </c>
      <c r="F113" s="52">
        <f t="shared" si="41"/>
        <v>0</v>
      </c>
      <c r="G113" s="52">
        <f t="shared" si="43"/>
        <v>0</v>
      </c>
      <c r="H113" s="53" t="e">
        <f t="shared" si="34"/>
        <v>#DIV/0!</v>
      </c>
      <c r="I113" s="54" t="e">
        <f t="shared" si="48"/>
        <v>#DIV/0!</v>
      </c>
      <c r="J113" s="55" t="e">
        <f t="shared" si="47"/>
        <v>#DIV/0!</v>
      </c>
      <c r="K113" s="54" t="e" cm="1">
        <f t="array" ref="K113">_xlfn.IFS(AND($C$7="Y",B113=C$4),0,AND($C$7="N",B113=C$4),0,TRUE,((D112-D113)-L113+N113))</f>
        <v>#DIV/0!</v>
      </c>
      <c r="L113" s="51" t="e">
        <f t="shared" si="35"/>
        <v>#DIV/0!</v>
      </c>
      <c r="M113" s="51">
        <f t="shared" si="46"/>
        <v>0</v>
      </c>
      <c r="N113" s="51">
        <f t="shared" si="45"/>
        <v>0</v>
      </c>
      <c r="O113" s="48" t="e">
        <f t="shared" si="44"/>
        <v>#DIV/0!</v>
      </c>
      <c r="P113" s="37" t="e">
        <f t="shared" si="36"/>
        <v>#DIV/0!</v>
      </c>
      <c r="Q113" s="56"/>
      <c r="R113" s="56">
        <f t="shared" si="37"/>
        <v>0.12</v>
      </c>
      <c r="S113" s="56">
        <f t="shared" si="38"/>
        <v>1.0596241035318976E-2</v>
      </c>
      <c r="T113" s="56">
        <f t="shared" si="39"/>
        <v>8.0519338057870024E-2</v>
      </c>
      <c r="U113" s="56">
        <f t="shared" si="42"/>
        <v>6.9711104768118703E-3</v>
      </c>
      <c r="V113" s="37" t="e">
        <f t="shared" si="40"/>
        <v>#DIV/0!</v>
      </c>
    </row>
    <row r="114" spans="2:22" x14ac:dyDescent="0.2">
      <c r="B114" s="50">
        <f t="shared" si="31"/>
        <v>103</v>
      </c>
      <c r="C114" s="53" t="e">
        <f t="shared" si="32"/>
        <v>#DIV/0!</v>
      </c>
      <c r="D114" s="47" t="e" cm="1">
        <f t="array" ref="D114">_xlfn.IFS(AND($C$7="Y",B114&lt;C$4),D113,AND(C$7="N",B114&lt;C$4, C$6=0),D113,AND($C$7="Y",B114=C$4),D113+F114-L114+N114-J114,AND($C$7="Y",B114&gt;C$4),(D113-J114)*(1-S114-U114), TRUE, (D113-J114)*(1-S114-U114))</f>
        <v>#DIV/0!</v>
      </c>
      <c r="E114" s="48">
        <f t="shared" si="33"/>
        <v>0</v>
      </c>
      <c r="F114" s="52">
        <f t="shared" si="41"/>
        <v>0</v>
      </c>
      <c r="G114" s="52">
        <f t="shared" si="43"/>
        <v>0</v>
      </c>
      <c r="H114" s="53" t="e">
        <f t="shared" si="34"/>
        <v>#DIV/0!</v>
      </c>
      <c r="I114" s="54" t="e">
        <f t="shared" si="48"/>
        <v>#DIV/0!</v>
      </c>
      <c r="J114" s="55" t="e">
        <f t="shared" si="47"/>
        <v>#DIV/0!</v>
      </c>
      <c r="K114" s="54" t="e" cm="1">
        <f t="array" ref="K114">_xlfn.IFS(AND($C$7="Y",B114=C$4),0,AND($C$7="N",B114=C$4),0,TRUE,((D113-D114)-L114+N114))</f>
        <v>#DIV/0!</v>
      </c>
      <c r="L114" s="51" t="e">
        <f t="shared" si="35"/>
        <v>#DIV/0!</v>
      </c>
      <c r="M114" s="51">
        <f t="shared" si="46"/>
        <v>0</v>
      </c>
      <c r="N114" s="51">
        <f t="shared" si="45"/>
        <v>0</v>
      </c>
      <c r="O114" s="48" t="e">
        <f t="shared" si="44"/>
        <v>#DIV/0!</v>
      </c>
      <c r="P114" s="37" t="e">
        <f t="shared" si="36"/>
        <v>#DIV/0!</v>
      </c>
      <c r="Q114" s="56"/>
      <c r="R114" s="56">
        <f t="shared" si="37"/>
        <v>0.12</v>
      </c>
      <c r="S114" s="56">
        <f t="shared" si="38"/>
        <v>1.0596241035318976E-2</v>
      </c>
      <c r="T114" s="56">
        <f t="shared" si="39"/>
        <v>8.0519338057870024E-2</v>
      </c>
      <c r="U114" s="56">
        <f t="shared" si="42"/>
        <v>6.9711104768118703E-3</v>
      </c>
      <c r="V114" s="37" t="e">
        <f t="shared" si="40"/>
        <v>#DIV/0!</v>
      </c>
    </row>
    <row r="115" spans="2:22" x14ac:dyDescent="0.2">
      <c r="B115" s="50">
        <f t="shared" si="31"/>
        <v>104</v>
      </c>
      <c r="C115" s="53" t="e">
        <f t="shared" si="32"/>
        <v>#DIV/0!</v>
      </c>
      <c r="D115" s="47" t="e" cm="1">
        <f t="array" ref="D115">_xlfn.IFS(AND($C$7="Y",B115&lt;C$4),D114,AND(C$7="N",B115&lt;C$4, C$6=0),D114,AND($C$7="Y",B115=C$4),D114+F115-L115+N115-J115,AND($C$7="Y",B115&gt;C$4),(D114-J115)*(1-S115-U115), TRUE, (D114-J115)*(1-S115-U115))</f>
        <v>#DIV/0!</v>
      </c>
      <c r="E115" s="48">
        <f t="shared" si="33"/>
        <v>0</v>
      </c>
      <c r="F115" s="52">
        <f t="shared" si="41"/>
        <v>0</v>
      </c>
      <c r="G115" s="52">
        <f t="shared" si="43"/>
        <v>0</v>
      </c>
      <c r="H115" s="53" t="e">
        <f t="shared" si="34"/>
        <v>#DIV/0!</v>
      </c>
      <c r="I115" s="54" t="e">
        <f t="shared" si="48"/>
        <v>#DIV/0!</v>
      </c>
      <c r="J115" s="55" t="e">
        <f t="shared" si="47"/>
        <v>#DIV/0!</v>
      </c>
      <c r="K115" s="54" t="e" cm="1">
        <f t="array" ref="K115">_xlfn.IFS(AND($C$7="Y",B115=C$4),0,AND($C$7="N",B115=C$4),0,TRUE,((D114-D115)-L115+N115))</f>
        <v>#DIV/0!</v>
      </c>
      <c r="L115" s="51" t="e">
        <f t="shared" si="35"/>
        <v>#DIV/0!</v>
      </c>
      <c r="M115" s="51">
        <f t="shared" si="46"/>
        <v>0</v>
      </c>
      <c r="N115" s="51">
        <f t="shared" si="45"/>
        <v>0</v>
      </c>
      <c r="O115" s="48" t="e">
        <f t="shared" si="44"/>
        <v>#DIV/0!</v>
      </c>
      <c r="P115" s="37" t="e">
        <f t="shared" si="36"/>
        <v>#DIV/0!</v>
      </c>
      <c r="Q115" s="56"/>
      <c r="R115" s="56">
        <f t="shared" si="37"/>
        <v>0.12</v>
      </c>
      <c r="S115" s="56">
        <f t="shared" si="38"/>
        <v>1.0596241035318976E-2</v>
      </c>
      <c r="T115" s="56">
        <f t="shared" si="39"/>
        <v>8.0519338057870024E-2</v>
      </c>
      <c r="U115" s="56">
        <f t="shared" si="42"/>
        <v>6.9711104768118703E-3</v>
      </c>
      <c r="V115" s="37" t="e">
        <f t="shared" si="40"/>
        <v>#DIV/0!</v>
      </c>
    </row>
    <row r="116" spans="2:22" x14ac:dyDescent="0.2">
      <c r="B116" s="50">
        <f t="shared" si="31"/>
        <v>105</v>
      </c>
      <c r="C116" s="53" t="e">
        <f t="shared" si="32"/>
        <v>#DIV/0!</v>
      </c>
      <c r="D116" s="47" t="e" cm="1">
        <f t="array" ref="D116">_xlfn.IFS(AND($C$7="Y",B116&lt;C$4),D115,AND(C$7="N",B116&lt;C$4, C$6=0),D115,AND($C$7="Y",B116=C$4),D115+F116-L116+N116-J116,AND($C$7="Y",B116&gt;C$4),(D115-J116)*(1-S116-U116), TRUE, (D115-J116)*(1-S116-U116))</f>
        <v>#DIV/0!</v>
      </c>
      <c r="E116" s="48">
        <f t="shared" si="33"/>
        <v>0</v>
      </c>
      <c r="F116" s="52">
        <f t="shared" si="41"/>
        <v>0</v>
      </c>
      <c r="G116" s="52">
        <f t="shared" si="43"/>
        <v>0</v>
      </c>
      <c r="H116" s="53" t="e">
        <f t="shared" si="34"/>
        <v>#DIV/0!</v>
      </c>
      <c r="I116" s="54" t="e">
        <f t="shared" si="48"/>
        <v>#DIV/0!</v>
      </c>
      <c r="J116" s="55" t="e">
        <f t="shared" si="47"/>
        <v>#DIV/0!</v>
      </c>
      <c r="K116" s="54" t="e" cm="1">
        <f t="array" ref="K116">_xlfn.IFS(AND($C$7="Y",B116=C$4),0,AND($C$7="N",B116=C$4),0,TRUE,((D115-D116)-L116+N116))</f>
        <v>#DIV/0!</v>
      </c>
      <c r="L116" s="51" t="e">
        <f t="shared" si="35"/>
        <v>#DIV/0!</v>
      </c>
      <c r="M116" s="51">
        <f t="shared" si="46"/>
        <v>0</v>
      </c>
      <c r="N116" s="51">
        <f t="shared" si="45"/>
        <v>0</v>
      </c>
      <c r="O116" s="48" t="e">
        <f t="shared" si="44"/>
        <v>#DIV/0!</v>
      </c>
      <c r="P116" s="37" t="e">
        <f t="shared" si="36"/>
        <v>#DIV/0!</v>
      </c>
      <c r="Q116" s="56"/>
      <c r="R116" s="56">
        <f t="shared" si="37"/>
        <v>0.12</v>
      </c>
      <c r="S116" s="56">
        <f t="shared" si="38"/>
        <v>1.0596241035318976E-2</v>
      </c>
      <c r="T116" s="56">
        <f t="shared" si="39"/>
        <v>8.0519338057870024E-2</v>
      </c>
      <c r="U116" s="56">
        <f t="shared" si="42"/>
        <v>6.9711104768118703E-3</v>
      </c>
      <c r="V116" s="37" t="e">
        <f t="shared" si="40"/>
        <v>#DIV/0!</v>
      </c>
    </row>
    <row r="117" spans="2:22" x14ac:dyDescent="0.2">
      <c r="B117" s="50">
        <f t="shared" si="31"/>
        <v>106</v>
      </c>
      <c r="C117" s="53" t="e">
        <f t="shared" si="32"/>
        <v>#DIV/0!</v>
      </c>
      <c r="D117" s="47" t="e" cm="1">
        <f t="array" ref="D117">_xlfn.IFS(AND($C$7="Y",B117&lt;C$4),D116,AND(C$7="N",B117&lt;C$4, C$6=0),D116,AND($C$7="Y",B117=C$4),D116+F117-L117+N117-J117,AND($C$7="Y",B117&gt;C$4),(D116-J117)*(1-S117-U117), TRUE, (D116-J117)*(1-S117-U117))</f>
        <v>#DIV/0!</v>
      </c>
      <c r="E117" s="48">
        <f t="shared" si="33"/>
        <v>0</v>
      </c>
      <c r="F117" s="52">
        <f t="shared" si="41"/>
        <v>0</v>
      </c>
      <c r="G117" s="52">
        <f t="shared" si="43"/>
        <v>0</v>
      </c>
      <c r="H117" s="53" t="e">
        <f t="shared" si="34"/>
        <v>#DIV/0!</v>
      </c>
      <c r="I117" s="54" t="e">
        <f t="shared" si="48"/>
        <v>#DIV/0!</v>
      </c>
      <c r="J117" s="55" t="e">
        <f t="shared" si="47"/>
        <v>#DIV/0!</v>
      </c>
      <c r="K117" s="54" t="e" cm="1">
        <f t="array" ref="K117">_xlfn.IFS(AND($C$7="Y",B117=C$4),0,AND($C$7="N",B117=C$4),0,TRUE,((D116-D117)-L117+N117))</f>
        <v>#DIV/0!</v>
      </c>
      <c r="L117" s="51" t="e">
        <f t="shared" si="35"/>
        <v>#DIV/0!</v>
      </c>
      <c r="M117" s="51">
        <f t="shared" si="46"/>
        <v>0</v>
      </c>
      <c r="N117" s="51">
        <f t="shared" si="45"/>
        <v>0</v>
      </c>
      <c r="O117" s="48" t="e">
        <f t="shared" si="44"/>
        <v>#DIV/0!</v>
      </c>
      <c r="P117" s="37" t="e">
        <f t="shared" si="36"/>
        <v>#DIV/0!</v>
      </c>
      <c r="Q117" s="56"/>
      <c r="R117" s="56">
        <f t="shared" si="37"/>
        <v>0.12</v>
      </c>
      <c r="S117" s="56">
        <f t="shared" si="38"/>
        <v>1.0596241035318976E-2</v>
      </c>
      <c r="T117" s="56">
        <f t="shared" si="39"/>
        <v>8.0519338057870024E-2</v>
      </c>
      <c r="U117" s="56">
        <f t="shared" si="42"/>
        <v>6.9711104768118703E-3</v>
      </c>
      <c r="V117" s="37" t="e">
        <f t="shared" si="40"/>
        <v>#DIV/0!</v>
      </c>
    </row>
    <row r="118" spans="2:22" x14ac:dyDescent="0.2">
      <c r="B118" s="50">
        <f t="shared" si="31"/>
        <v>107</v>
      </c>
      <c r="C118" s="53" t="e">
        <f t="shared" si="32"/>
        <v>#DIV/0!</v>
      </c>
      <c r="D118" s="47" t="e" cm="1">
        <f t="array" ref="D118">_xlfn.IFS(AND($C$7="Y",B118&lt;C$4),D117,AND(C$7="N",B118&lt;C$4, C$6=0),D117,AND($C$7="Y",B118=C$4),D117+F118-L118+N118-J118,AND($C$7="Y",B118&gt;C$4),(D117-J118)*(1-S118-U118), TRUE, (D117-J118)*(1-S118-U118))</f>
        <v>#DIV/0!</v>
      </c>
      <c r="E118" s="48">
        <f t="shared" si="33"/>
        <v>0</v>
      </c>
      <c r="F118" s="52">
        <f t="shared" si="41"/>
        <v>0</v>
      </c>
      <c r="G118" s="52">
        <f t="shared" si="43"/>
        <v>0</v>
      </c>
      <c r="H118" s="53" t="e">
        <f t="shared" si="34"/>
        <v>#DIV/0!</v>
      </c>
      <c r="I118" s="54" t="e">
        <f t="shared" si="48"/>
        <v>#DIV/0!</v>
      </c>
      <c r="J118" s="55" t="e">
        <f t="shared" si="47"/>
        <v>#DIV/0!</v>
      </c>
      <c r="K118" s="54" t="e" cm="1">
        <f t="array" ref="K118">_xlfn.IFS(AND($C$7="Y",B118=C$4),0,AND($C$7="N",B118=C$4),0,TRUE,((D117-D118)-L118+N118))</f>
        <v>#DIV/0!</v>
      </c>
      <c r="L118" s="51" t="e">
        <f t="shared" si="35"/>
        <v>#DIV/0!</v>
      </c>
      <c r="M118" s="51">
        <f t="shared" si="46"/>
        <v>0</v>
      </c>
      <c r="N118" s="51">
        <f t="shared" si="45"/>
        <v>0</v>
      </c>
      <c r="O118" s="48" t="e">
        <f t="shared" si="44"/>
        <v>#DIV/0!</v>
      </c>
      <c r="P118" s="37" t="e">
        <f t="shared" si="36"/>
        <v>#DIV/0!</v>
      </c>
      <c r="Q118" s="56"/>
      <c r="R118" s="56">
        <f t="shared" si="37"/>
        <v>0.12</v>
      </c>
      <c r="S118" s="56">
        <f t="shared" si="38"/>
        <v>1.0596241035318976E-2</v>
      </c>
      <c r="T118" s="56">
        <f t="shared" si="39"/>
        <v>8.0519338057870024E-2</v>
      </c>
      <c r="U118" s="56">
        <f t="shared" si="42"/>
        <v>6.9711104768118703E-3</v>
      </c>
      <c r="V118" s="37" t="e">
        <f t="shared" si="40"/>
        <v>#DIV/0!</v>
      </c>
    </row>
    <row r="119" spans="2:22" x14ac:dyDescent="0.2">
      <c r="B119" s="50">
        <f t="shared" si="31"/>
        <v>108</v>
      </c>
      <c r="C119" s="53" t="e">
        <f t="shared" si="32"/>
        <v>#DIV/0!</v>
      </c>
      <c r="D119" s="47" t="e" cm="1">
        <f t="array" ref="D119">_xlfn.IFS(AND($C$7="Y",B119&lt;C$4),D118,AND(C$7="N",B119&lt;C$4, C$6=0),D118,AND($C$7="Y",B119=C$4),D118+F119-L119+N119-J119,AND($C$7="Y",B119&gt;C$4),(D118-J119)*(1-S119-U119), TRUE, (D118-J119)*(1-S119-U119))</f>
        <v>#DIV/0!</v>
      </c>
      <c r="E119" s="48">
        <f t="shared" si="33"/>
        <v>0</v>
      </c>
      <c r="F119" s="52">
        <f t="shared" si="41"/>
        <v>0</v>
      </c>
      <c r="G119" s="52">
        <f t="shared" si="43"/>
        <v>0</v>
      </c>
      <c r="H119" s="53" t="e">
        <f t="shared" si="34"/>
        <v>#DIV/0!</v>
      </c>
      <c r="I119" s="54" t="e">
        <f t="shared" si="48"/>
        <v>#DIV/0!</v>
      </c>
      <c r="J119" s="55" t="e">
        <f t="shared" si="47"/>
        <v>#DIV/0!</v>
      </c>
      <c r="K119" s="54" t="e" cm="1">
        <f t="array" ref="K119">_xlfn.IFS(AND($C$7="Y",B119=C$4),0,AND($C$7="N",B119=C$4),0,TRUE,((D118-D119)-L119+N119))</f>
        <v>#DIV/0!</v>
      </c>
      <c r="L119" s="51" t="e">
        <f t="shared" si="35"/>
        <v>#DIV/0!</v>
      </c>
      <c r="M119" s="51">
        <f t="shared" si="46"/>
        <v>0</v>
      </c>
      <c r="N119" s="51">
        <f t="shared" si="45"/>
        <v>0</v>
      </c>
      <c r="O119" s="48" t="e">
        <f t="shared" si="44"/>
        <v>#DIV/0!</v>
      </c>
      <c r="P119" s="37" t="e">
        <f t="shared" si="36"/>
        <v>#DIV/0!</v>
      </c>
      <c r="Q119" s="56"/>
      <c r="R119" s="56">
        <f t="shared" si="37"/>
        <v>0.12</v>
      </c>
      <c r="S119" s="56">
        <f t="shared" si="38"/>
        <v>1.0596241035318976E-2</v>
      </c>
      <c r="T119" s="56">
        <f t="shared" si="39"/>
        <v>8.0519338057870024E-2</v>
      </c>
      <c r="U119" s="56">
        <f t="shared" si="42"/>
        <v>6.9711104768118703E-3</v>
      </c>
      <c r="V119" s="37" t="e">
        <f t="shared" si="40"/>
        <v>#DIV/0!</v>
      </c>
    </row>
    <row r="120" spans="2:22" x14ac:dyDescent="0.2">
      <c r="B120" s="50">
        <f t="shared" si="31"/>
        <v>109</v>
      </c>
      <c r="C120" s="53" t="e">
        <f t="shared" si="32"/>
        <v>#DIV/0!</v>
      </c>
      <c r="D120" s="47" t="e" cm="1">
        <f t="array" ref="D120">_xlfn.IFS(AND($C$7="Y",B120&lt;C$4),D119,AND(C$7="N",B120&lt;C$4, C$6=0),D119,AND($C$7="Y",B120=C$4),D119+F120-L120+N120-J120,AND($C$7="Y",B120&gt;C$4),(D119-J120)*(1-S120-U120), TRUE, (D119-J120)*(1-S120-U120))</f>
        <v>#DIV/0!</v>
      </c>
      <c r="E120" s="48">
        <f t="shared" si="33"/>
        <v>0</v>
      </c>
      <c r="F120" s="52">
        <f t="shared" si="41"/>
        <v>0</v>
      </c>
      <c r="G120" s="52">
        <f t="shared" si="43"/>
        <v>0</v>
      </c>
      <c r="H120" s="53" t="e">
        <f t="shared" si="34"/>
        <v>#DIV/0!</v>
      </c>
      <c r="I120" s="54" t="e">
        <f t="shared" si="48"/>
        <v>#DIV/0!</v>
      </c>
      <c r="J120" s="55" t="e">
        <f t="shared" si="47"/>
        <v>#DIV/0!</v>
      </c>
      <c r="K120" s="54" t="e" cm="1">
        <f t="array" ref="K120">_xlfn.IFS(AND($C$7="Y",B120=C$4),0,AND($C$7="N",B120=C$4),0,TRUE,((D119-D120)-L120+N120))</f>
        <v>#DIV/0!</v>
      </c>
      <c r="L120" s="51" t="e">
        <f t="shared" si="35"/>
        <v>#DIV/0!</v>
      </c>
      <c r="M120" s="51">
        <f t="shared" si="46"/>
        <v>0</v>
      </c>
      <c r="N120" s="51">
        <f t="shared" si="45"/>
        <v>0</v>
      </c>
      <c r="O120" s="48" t="e">
        <f t="shared" si="44"/>
        <v>#DIV/0!</v>
      </c>
      <c r="P120" s="37" t="e">
        <f t="shared" si="36"/>
        <v>#DIV/0!</v>
      </c>
      <c r="Q120" s="56"/>
      <c r="R120" s="56">
        <f t="shared" si="37"/>
        <v>0.12</v>
      </c>
      <c r="S120" s="56">
        <f t="shared" si="38"/>
        <v>1.0596241035318976E-2</v>
      </c>
      <c r="T120" s="56">
        <f t="shared" si="39"/>
        <v>8.0519338057870024E-2</v>
      </c>
      <c r="U120" s="56">
        <f t="shared" si="42"/>
        <v>6.9711104768118703E-3</v>
      </c>
      <c r="V120" s="37" t="e">
        <f t="shared" si="40"/>
        <v>#DIV/0!</v>
      </c>
    </row>
    <row r="121" spans="2:22" x14ac:dyDescent="0.2">
      <c r="B121" s="50">
        <f t="shared" si="31"/>
        <v>110</v>
      </c>
      <c r="C121" s="53" t="e">
        <f t="shared" si="32"/>
        <v>#DIV/0!</v>
      </c>
      <c r="D121" s="47" t="e" cm="1">
        <f t="array" ref="D121">_xlfn.IFS(AND($C$7="Y",B121&lt;C$4),D120,AND(C$7="N",B121&lt;C$4, C$6=0),D120,AND($C$7="Y",B121=C$4),D120+F121-L121+N121-J121,AND($C$7="Y",B121&gt;C$4),(D120-J121)*(1-S121-U121), TRUE, (D120-J121)*(1-S121-U121))</f>
        <v>#DIV/0!</v>
      </c>
      <c r="E121" s="48">
        <f t="shared" si="33"/>
        <v>0</v>
      </c>
      <c r="F121" s="52">
        <f t="shared" si="41"/>
        <v>0</v>
      </c>
      <c r="G121" s="52">
        <f t="shared" si="43"/>
        <v>0</v>
      </c>
      <c r="H121" s="53" t="e">
        <f t="shared" si="34"/>
        <v>#DIV/0!</v>
      </c>
      <c r="I121" s="54" t="e">
        <f t="shared" si="48"/>
        <v>#DIV/0!</v>
      </c>
      <c r="J121" s="55" t="e">
        <f t="shared" si="47"/>
        <v>#DIV/0!</v>
      </c>
      <c r="K121" s="54" t="e" cm="1">
        <f t="array" ref="K121">_xlfn.IFS(AND($C$7="Y",B121=C$4),0,AND($C$7="N",B121=C$4),0,TRUE,((D120-D121)-L121+N121))</f>
        <v>#DIV/0!</v>
      </c>
      <c r="L121" s="51" t="e">
        <f t="shared" si="35"/>
        <v>#DIV/0!</v>
      </c>
      <c r="M121" s="51">
        <f t="shared" si="46"/>
        <v>0</v>
      </c>
      <c r="N121" s="51">
        <f t="shared" si="45"/>
        <v>0</v>
      </c>
      <c r="O121" s="48" t="e">
        <f t="shared" si="44"/>
        <v>#DIV/0!</v>
      </c>
      <c r="P121" s="37" t="e">
        <f t="shared" si="36"/>
        <v>#DIV/0!</v>
      </c>
      <c r="Q121" s="56"/>
      <c r="R121" s="56">
        <f t="shared" si="37"/>
        <v>0.12</v>
      </c>
      <c r="S121" s="56">
        <f t="shared" si="38"/>
        <v>1.0596241035318976E-2</v>
      </c>
      <c r="T121" s="56">
        <f t="shared" si="39"/>
        <v>8.0519338057870024E-2</v>
      </c>
      <c r="U121" s="56">
        <f t="shared" si="42"/>
        <v>6.9711104768118703E-3</v>
      </c>
      <c r="V121" s="37" t="e">
        <f t="shared" si="40"/>
        <v>#DIV/0!</v>
      </c>
    </row>
    <row r="122" spans="2:22" x14ac:dyDescent="0.2">
      <c r="B122" s="50">
        <f t="shared" si="31"/>
        <v>111</v>
      </c>
      <c r="C122" s="53" t="e">
        <f t="shared" si="32"/>
        <v>#DIV/0!</v>
      </c>
      <c r="D122" s="47" t="e" cm="1">
        <f t="array" ref="D122">_xlfn.IFS(AND($C$7="Y",B122&lt;C$4),D121,AND(C$7="N",B122&lt;C$4, C$6=0),D121,AND($C$7="Y",B122=C$4),D121+F122-L122+N122-J122,AND($C$7="Y",B122&gt;C$4),(D121-J122)*(1-S122-U122), TRUE, (D121-J122)*(1-S122-U122))</f>
        <v>#DIV/0!</v>
      </c>
      <c r="E122" s="48">
        <f t="shared" si="33"/>
        <v>0</v>
      </c>
      <c r="F122" s="52">
        <f t="shared" si="41"/>
        <v>0</v>
      </c>
      <c r="G122" s="52">
        <f t="shared" si="43"/>
        <v>0</v>
      </c>
      <c r="H122" s="53" t="e">
        <f t="shared" si="34"/>
        <v>#DIV/0!</v>
      </c>
      <c r="I122" s="54" t="e">
        <f t="shared" si="48"/>
        <v>#DIV/0!</v>
      </c>
      <c r="J122" s="55" t="e">
        <f t="shared" si="47"/>
        <v>#DIV/0!</v>
      </c>
      <c r="K122" s="54" t="e" cm="1">
        <f t="array" ref="K122">_xlfn.IFS(AND($C$7="Y",B122=C$4),0,AND($C$7="N",B122=C$4),0,TRUE,((D121-D122)-L122+N122))</f>
        <v>#DIV/0!</v>
      </c>
      <c r="L122" s="51" t="e">
        <f t="shared" si="35"/>
        <v>#DIV/0!</v>
      </c>
      <c r="M122" s="51">
        <f t="shared" si="46"/>
        <v>0</v>
      </c>
      <c r="N122" s="51">
        <f t="shared" si="45"/>
        <v>0</v>
      </c>
      <c r="O122" s="48" t="e">
        <f t="shared" si="44"/>
        <v>#DIV/0!</v>
      </c>
      <c r="P122" s="37" t="e">
        <f t="shared" si="36"/>
        <v>#DIV/0!</v>
      </c>
      <c r="Q122" s="56"/>
      <c r="R122" s="56">
        <f t="shared" si="37"/>
        <v>0.12</v>
      </c>
      <c r="S122" s="56">
        <f t="shared" si="38"/>
        <v>1.0596241035318976E-2</v>
      </c>
      <c r="T122" s="56">
        <f t="shared" si="39"/>
        <v>8.0519338057870024E-2</v>
      </c>
      <c r="U122" s="56">
        <f t="shared" si="42"/>
        <v>6.9711104768118703E-3</v>
      </c>
      <c r="V122" s="37" t="e">
        <f t="shared" si="40"/>
        <v>#DIV/0!</v>
      </c>
    </row>
    <row r="123" spans="2:22" x14ac:dyDescent="0.2">
      <c r="B123" s="50">
        <f t="shared" si="31"/>
        <v>112</v>
      </c>
      <c r="C123" s="53" t="e">
        <f t="shared" si="32"/>
        <v>#DIV/0!</v>
      </c>
      <c r="D123" s="47" t="e" cm="1">
        <f t="array" ref="D123">_xlfn.IFS(AND($C$7="Y",B123&lt;C$4),D122,AND(C$7="N",B123&lt;C$4, C$6=0),D122,AND($C$7="Y",B123=C$4),D122+F123-L123+N123-J123,AND($C$7="Y",B123&gt;C$4),(D122-J123)*(1-S123-U123), TRUE, (D122-J123)*(1-S123-U123))</f>
        <v>#DIV/0!</v>
      </c>
      <c r="E123" s="48">
        <f t="shared" si="33"/>
        <v>0</v>
      </c>
      <c r="F123" s="52">
        <f t="shared" si="41"/>
        <v>0</v>
      </c>
      <c r="G123" s="52">
        <f t="shared" si="43"/>
        <v>0</v>
      </c>
      <c r="H123" s="53" t="e">
        <f t="shared" si="34"/>
        <v>#DIV/0!</v>
      </c>
      <c r="I123" s="54" t="e">
        <f t="shared" si="48"/>
        <v>#DIV/0!</v>
      </c>
      <c r="J123" s="55" t="e">
        <f t="shared" si="47"/>
        <v>#DIV/0!</v>
      </c>
      <c r="K123" s="54" t="e" cm="1">
        <f t="array" ref="K123">_xlfn.IFS(AND($C$7="Y",B123=C$4),0,AND($C$7="N",B123=C$4),0,TRUE,((D122-D123)-L123+N123))</f>
        <v>#DIV/0!</v>
      </c>
      <c r="L123" s="51" t="e">
        <f t="shared" si="35"/>
        <v>#DIV/0!</v>
      </c>
      <c r="M123" s="51">
        <f t="shared" si="46"/>
        <v>0</v>
      </c>
      <c r="N123" s="51">
        <f t="shared" si="45"/>
        <v>0</v>
      </c>
      <c r="O123" s="48" t="e">
        <f t="shared" si="44"/>
        <v>#DIV/0!</v>
      </c>
      <c r="P123" s="37" t="e">
        <f t="shared" si="36"/>
        <v>#DIV/0!</v>
      </c>
      <c r="Q123" s="56"/>
      <c r="R123" s="56">
        <f t="shared" si="37"/>
        <v>0.12</v>
      </c>
      <c r="S123" s="56">
        <f t="shared" si="38"/>
        <v>1.0596241035318976E-2</v>
      </c>
      <c r="T123" s="56">
        <f t="shared" si="39"/>
        <v>8.0519338057870024E-2</v>
      </c>
      <c r="U123" s="56">
        <f t="shared" si="42"/>
        <v>6.9711104768118703E-3</v>
      </c>
      <c r="V123" s="37" t="e">
        <f t="shared" si="40"/>
        <v>#DIV/0!</v>
      </c>
    </row>
    <row r="124" spans="2:22" x14ac:dyDescent="0.2">
      <c r="B124" s="50">
        <f t="shared" si="31"/>
        <v>113</v>
      </c>
      <c r="C124" s="53" t="e">
        <f t="shared" si="32"/>
        <v>#DIV/0!</v>
      </c>
      <c r="D124" s="47" t="e" cm="1">
        <f t="array" ref="D124">_xlfn.IFS(AND($C$7="Y",B124&lt;C$4),D123,AND(C$7="N",B124&lt;C$4, C$6=0),D123,AND($C$7="Y",B124=C$4),D123+F124-L124+N124-J124,AND($C$7="Y",B124&gt;C$4),(D123-J124)*(1-S124-U124), TRUE, (D123-J124)*(1-S124-U124))</f>
        <v>#DIV/0!</v>
      </c>
      <c r="E124" s="48">
        <f t="shared" si="33"/>
        <v>0</v>
      </c>
      <c r="F124" s="52">
        <f t="shared" si="41"/>
        <v>0</v>
      </c>
      <c r="G124" s="52">
        <f t="shared" si="43"/>
        <v>0</v>
      </c>
      <c r="H124" s="53" t="e">
        <f t="shared" si="34"/>
        <v>#DIV/0!</v>
      </c>
      <c r="I124" s="54" t="e">
        <f t="shared" si="48"/>
        <v>#DIV/0!</v>
      </c>
      <c r="J124" s="55" t="e">
        <f t="shared" si="47"/>
        <v>#DIV/0!</v>
      </c>
      <c r="K124" s="54" t="e" cm="1">
        <f t="array" ref="K124">_xlfn.IFS(AND($C$7="Y",B124=C$4),0,AND($C$7="N",B124=C$4),0,TRUE,((D123-D124)-L124+N124))</f>
        <v>#DIV/0!</v>
      </c>
      <c r="L124" s="51" t="e">
        <f t="shared" si="35"/>
        <v>#DIV/0!</v>
      </c>
      <c r="M124" s="51">
        <f t="shared" si="46"/>
        <v>0</v>
      </c>
      <c r="N124" s="51">
        <f t="shared" si="45"/>
        <v>0</v>
      </c>
      <c r="O124" s="48" t="e">
        <f t="shared" si="44"/>
        <v>#DIV/0!</v>
      </c>
      <c r="P124" s="37" t="e">
        <f t="shared" si="36"/>
        <v>#DIV/0!</v>
      </c>
      <c r="Q124" s="56"/>
      <c r="R124" s="56">
        <f t="shared" si="37"/>
        <v>0.12</v>
      </c>
      <c r="S124" s="56">
        <f t="shared" si="38"/>
        <v>1.0596241035318976E-2</v>
      </c>
      <c r="T124" s="56">
        <f t="shared" si="39"/>
        <v>8.0519338057870024E-2</v>
      </c>
      <c r="U124" s="56">
        <f t="shared" si="42"/>
        <v>6.9711104768118703E-3</v>
      </c>
      <c r="V124" s="37" t="e">
        <f t="shared" si="40"/>
        <v>#DIV/0!</v>
      </c>
    </row>
    <row r="125" spans="2:22" x14ac:dyDescent="0.2">
      <c r="B125" s="50">
        <f t="shared" si="31"/>
        <v>114</v>
      </c>
      <c r="C125" s="53" t="e">
        <f t="shared" si="32"/>
        <v>#DIV/0!</v>
      </c>
      <c r="D125" s="47" t="e" cm="1">
        <f t="array" ref="D125">_xlfn.IFS(AND($C$7="Y",B125&lt;C$4),D124,AND(C$7="N",B125&lt;C$4, C$6=0),D124,AND($C$7="Y",B125=C$4),D124+F125-L125+N125-J125,AND($C$7="Y",B125&gt;C$4),(D124-J125)*(1-S125-U125), TRUE, (D124-J125)*(1-S125-U125))</f>
        <v>#DIV/0!</v>
      </c>
      <c r="E125" s="48">
        <f t="shared" si="33"/>
        <v>0</v>
      </c>
      <c r="F125" s="52">
        <f t="shared" si="41"/>
        <v>0</v>
      </c>
      <c r="G125" s="52">
        <f t="shared" si="43"/>
        <v>0</v>
      </c>
      <c r="H125" s="53" t="e">
        <f t="shared" si="34"/>
        <v>#DIV/0!</v>
      </c>
      <c r="I125" s="54" t="e">
        <f t="shared" si="48"/>
        <v>#DIV/0!</v>
      </c>
      <c r="J125" s="55" t="e">
        <f t="shared" si="47"/>
        <v>#DIV/0!</v>
      </c>
      <c r="K125" s="54" t="e" cm="1">
        <f t="array" ref="K125">_xlfn.IFS(AND($C$7="Y",B125=C$4),0,AND($C$7="N",B125=C$4),0,TRUE,((D124-D125)-L125+N125))</f>
        <v>#DIV/0!</v>
      </c>
      <c r="L125" s="51" t="e">
        <f t="shared" si="35"/>
        <v>#DIV/0!</v>
      </c>
      <c r="M125" s="51">
        <f t="shared" si="46"/>
        <v>0</v>
      </c>
      <c r="N125" s="51">
        <f t="shared" si="45"/>
        <v>0</v>
      </c>
      <c r="O125" s="48" t="e">
        <f t="shared" si="44"/>
        <v>#DIV/0!</v>
      </c>
      <c r="P125" s="37" t="e">
        <f t="shared" si="36"/>
        <v>#DIV/0!</v>
      </c>
      <c r="Q125" s="56"/>
      <c r="R125" s="56">
        <f t="shared" si="37"/>
        <v>0.12</v>
      </c>
      <c r="S125" s="56">
        <f t="shared" si="38"/>
        <v>1.0596241035318976E-2</v>
      </c>
      <c r="T125" s="56">
        <f t="shared" si="39"/>
        <v>8.0519338057870024E-2</v>
      </c>
      <c r="U125" s="56">
        <f t="shared" si="42"/>
        <v>6.9711104768118703E-3</v>
      </c>
      <c r="V125" s="37" t="e">
        <f t="shared" si="40"/>
        <v>#DIV/0!</v>
      </c>
    </row>
    <row r="126" spans="2:22" x14ac:dyDescent="0.2">
      <c r="B126" s="50">
        <f t="shared" si="31"/>
        <v>115</v>
      </c>
      <c r="C126" s="53" t="e">
        <f t="shared" si="32"/>
        <v>#DIV/0!</v>
      </c>
      <c r="D126" s="47" t="e" cm="1">
        <f t="array" ref="D126">_xlfn.IFS(AND($C$7="Y",B126&lt;C$4),D125,AND(C$7="N",B126&lt;C$4, C$6=0),D125,AND($C$7="Y",B126=C$4),D125+F126-L126+N126-J126,AND($C$7="Y",B126&gt;C$4),(D125-J126)*(1-S126-U126), TRUE, (D125-J126)*(1-S126-U126))</f>
        <v>#DIV/0!</v>
      </c>
      <c r="E126" s="48">
        <f t="shared" si="33"/>
        <v>0</v>
      </c>
      <c r="F126" s="52">
        <f t="shared" si="41"/>
        <v>0</v>
      </c>
      <c r="G126" s="52">
        <f t="shared" si="43"/>
        <v>0</v>
      </c>
      <c r="H126" s="53" t="e">
        <f t="shared" si="34"/>
        <v>#DIV/0!</v>
      </c>
      <c r="I126" s="54" t="e">
        <f t="shared" si="48"/>
        <v>#DIV/0!</v>
      </c>
      <c r="J126" s="55" t="e">
        <f t="shared" si="47"/>
        <v>#DIV/0!</v>
      </c>
      <c r="K126" s="54" t="e" cm="1">
        <f t="array" ref="K126">_xlfn.IFS(AND($C$7="Y",B126=C$4),0,AND($C$7="N",B126=C$4),0,TRUE,((D125-D126)-L126+N126))</f>
        <v>#DIV/0!</v>
      </c>
      <c r="L126" s="51" t="e">
        <f t="shared" si="35"/>
        <v>#DIV/0!</v>
      </c>
      <c r="M126" s="51">
        <f t="shared" si="46"/>
        <v>0</v>
      </c>
      <c r="N126" s="51">
        <f t="shared" si="45"/>
        <v>0</v>
      </c>
      <c r="O126" s="48" t="e">
        <f t="shared" si="44"/>
        <v>#DIV/0!</v>
      </c>
      <c r="P126" s="37" t="e">
        <f t="shared" si="36"/>
        <v>#DIV/0!</v>
      </c>
      <c r="Q126" s="56"/>
      <c r="R126" s="56">
        <f t="shared" si="37"/>
        <v>0.12</v>
      </c>
      <c r="S126" s="56">
        <f t="shared" si="38"/>
        <v>1.0596241035318976E-2</v>
      </c>
      <c r="T126" s="56">
        <f t="shared" si="39"/>
        <v>8.0519338057870024E-2</v>
      </c>
      <c r="U126" s="56">
        <f t="shared" si="42"/>
        <v>6.9711104768118703E-3</v>
      </c>
      <c r="V126" s="37" t="e">
        <f t="shared" si="40"/>
        <v>#DIV/0!</v>
      </c>
    </row>
    <row r="127" spans="2:22" x14ac:dyDescent="0.2">
      <c r="B127" s="50">
        <f t="shared" si="31"/>
        <v>116</v>
      </c>
      <c r="C127" s="53" t="e">
        <f t="shared" si="32"/>
        <v>#DIV/0!</v>
      </c>
      <c r="D127" s="47" t="e" cm="1">
        <f t="array" ref="D127">_xlfn.IFS(AND($C$7="Y",B127&lt;C$4),D126,AND(C$7="N",B127&lt;C$4, C$6=0),D126,AND($C$7="Y",B127=C$4),D126+F127-L127+N127-J127,AND($C$7="Y",B127&gt;C$4),(D126-J127)*(1-S127-U127), TRUE, (D126-J127)*(1-S127-U127))</f>
        <v>#DIV/0!</v>
      </c>
      <c r="E127" s="48">
        <f t="shared" si="33"/>
        <v>0</v>
      </c>
      <c r="F127" s="52">
        <f t="shared" si="41"/>
        <v>0</v>
      </c>
      <c r="G127" s="52">
        <f t="shared" si="43"/>
        <v>0</v>
      </c>
      <c r="H127" s="53" t="e">
        <f t="shared" si="34"/>
        <v>#DIV/0!</v>
      </c>
      <c r="I127" s="54" t="e">
        <f t="shared" si="48"/>
        <v>#DIV/0!</v>
      </c>
      <c r="J127" s="55" t="e">
        <f t="shared" si="47"/>
        <v>#DIV/0!</v>
      </c>
      <c r="K127" s="54" t="e" cm="1">
        <f t="array" ref="K127">_xlfn.IFS(AND($C$7="Y",B127=C$4),0,AND($C$7="N",B127=C$4),0,TRUE,((D126-D127)-L127+N127))</f>
        <v>#DIV/0!</v>
      </c>
      <c r="L127" s="51" t="e">
        <f t="shared" si="35"/>
        <v>#DIV/0!</v>
      </c>
      <c r="M127" s="51">
        <f t="shared" si="46"/>
        <v>0</v>
      </c>
      <c r="N127" s="51">
        <f t="shared" si="45"/>
        <v>0</v>
      </c>
      <c r="O127" s="48" t="e">
        <f t="shared" si="44"/>
        <v>#DIV/0!</v>
      </c>
      <c r="P127" s="37" t="e">
        <f t="shared" si="36"/>
        <v>#DIV/0!</v>
      </c>
      <c r="Q127" s="56"/>
      <c r="R127" s="56">
        <f t="shared" si="37"/>
        <v>0.12</v>
      </c>
      <c r="S127" s="56">
        <f t="shared" si="38"/>
        <v>1.0596241035318976E-2</v>
      </c>
      <c r="T127" s="56">
        <f t="shared" si="39"/>
        <v>8.0519338057870024E-2</v>
      </c>
      <c r="U127" s="56">
        <f t="shared" si="42"/>
        <v>6.9711104768118703E-3</v>
      </c>
      <c r="V127" s="37" t="e">
        <f t="shared" si="40"/>
        <v>#DIV/0!</v>
      </c>
    </row>
    <row r="128" spans="2:22" x14ac:dyDescent="0.2">
      <c r="B128" s="50">
        <f t="shared" si="31"/>
        <v>117</v>
      </c>
      <c r="C128" s="53" t="e">
        <f t="shared" si="32"/>
        <v>#DIV/0!</v>
      </c>
      <c r="D128" s="47" t="e" cm="1">
        <f t="array" ref="D128">_xlfn.IFS(AND($C$7="Y",B128&lt;C$4),D127,AND(C$7="N",B128&lt;C$4, C$6=0),D127,AND($C$7="Y",B128=C$4),D127+F128-L128+N128-J128,AND($C$7="Y",B128&gt;C$4),(D127-J128)*(1-S128-U128), TRUE, (D127-J128)*(1-S128-U128))</f>
        <v>#DIV/0!</v>
      </c>
      <c r="E128" s="48">
        <f t="shared" si="33"/>
        <v>0</v>
      </c>
      <c r="F128" s="52">
        <f t="shared" si="41"/>
        <v>0</v>
      </c>
      <c r="G128" s="52">
        <f t="shared" si="43"/>
        <v>0</v>
      </c>
      <c r="H128" s="53" t="e">
        <f t="shared" si="34"/>
        <v>#DIV/0!</v>
      </c>
      <c r="I128" s="54" t="e">
        <f t="shared" si="48"/>
        <v>#DIV/0!</v>
      </c>
      <c r="J128" s="55" t="e">
        <f t="shared" si="47"/>
        <v>#DIV/0!</v>
      </c>
      <c r="K128" s="54" t="e" cm="1">
        <f t="array" ref="K128">_xlfn.IFS(AND($C$7="Y",B128=C$4),0,AND($C$7="N",B128=C$4),0,TRUE,((D127-D128)-L128+N128))</f>
        <v>#DIV/0!</v>
      </c>
      <c r="L128" s="51" t="e">
        <f t="shared" si="35"/>
        <v>#DIV/0!</v>
      </c>
      <c r="M128" s="51">
        <f t="shared" si="46"/>
        <v>0</v>
      </c>
      <c r="N128" s="51">
        <f t="shared" si="45"/>
        <v>0</v>
      </c>
      <c r="O128" s="48" t="e">
        <f t="shared" si="44"/>
        <v>#DIV/0!</v>
      </c>
      <c r="P128" s="37" t="e">
        <f t="shared" si="36"/>
        <v>#DIV/0!</v>
      </c>
      <c r="Q128" s="56"/>
      <c r="R128" s="56">
        <f t="shared" si="37"/>
        <v>0.12</v>
      </c>
      <c r="S128" s="56">
        <f t="shared" si="38"/>
        <v>1.0596241035318976E-2</v>
      </c>
      <c r="T128" s="56">
        <f t="shared" si="39"/>
        <v>8.0519338057870024E-2</v>
      </c>
      <c r="U128" s="56">
        <f t="shared" si="42"/>
        <v>6.9711104768118703E-3</v>
      </c>
      <c r="V128" s="37" t="e">
        <f t="shared" si="40"/>
        <v>#DIV/0!</v>
      </c>
    </row>
    <row r="129" spans="2:22" x14ac:dyDescent="0.2">
      <c r="B129" s="50">
        <f t="shared" si="31"/>
        <v>118</v>
      </c>
      <c r="C129" s="53" t="e">
        <f t="shared" si="32"/>
        <v>#DIV/0!</v>
      </c>
      <c r="D129" s="47" t="e" cm="1">
        <f t="array" ref="D129">_xlfn.IFS(AND($C$7="Y",B129&lt;C$4),D128,AND(C$7="N",B129&lt;C$4, C$6=0),D128,AND($C$7="Y",B129=C$4),D128+F129-L129+N129-J129,AND($C$7="Y",B129&gt;C$4),(D128-J129)*(1-S129-U129), TRUE, (D128-J129)*(1-S129-U129))</f>
        <v>#DIV/0!</v>
      </c>
      <c r="E129" s="48">
        <f t="shared" si="33"/>
        <v>0</v>
      </c>
      <c r="F129" s="52">
        <f t="shared" si="41"/>
        <v>0</v>
      </c>
      <c r="G129" s="52">
        <f t="shared" si="43"/>
        <v>0</v>
      </c>
      <c r="H129" s="53" t="e">
        <f t="shared" si="34"/>
        <v>#DIV/0!</v>
      </c>
      <c r="I129" s="54" t="e">
        <f t="shared" si="48"/>
        <v>#DIV/0!</v>
      </c>
      <c r="J129" s="55" t="e">
        <f t="shared" si="47"/>
        <v>#DIV/0!</v>
      </c>
      <c r="K129" s="54" t="e" cm="1">
        <f t="array" ref="K129">_xlfn.IFS(AND($C$7="Y",B129=C$4),0,AND($C$7="N",B129=C$4),0,TRUE,((D128-D129)-L129+N129))</f>
        <v>#DIV/0!</v>
      </c>
      <c r="L129" s="51" t="e">
        <f t="shared" si="35"/>
        <v>#DIV/0!</v>
      </c>
      <c r="M129" s="51">
        <f t="shared" si="46"/>
        <v>0</v>
      </c>
      <c r="N129" s="51">
        <f t="shared" si="45"/>
        <v>0</v>
      </c>
      <c r="O129" s="48" t="e">
        <f t="shared" si="44"/>
        <v>#DIV/0!</v>
      </c>
      <c r="P129" s="37" t="e">
        <f t="shared" si="36"/>
        <v>#DIV/0!</v>
      </c>
      <c r="Q129" s="56"/>
      <c r="R129" s="56">
        <f t="shared" si="37"/>
        <v>0.12</v>
      </c>
      <c r="S129" s="56">
        <f t="shared" si="38"/>
        <v>1.0596241035318976E-2</v>
      </c>
      <c r="T129" s="56">
        <f t="shared" si="39"/>
        <v>8.0519338057870024E-2</v>
      </c>
      <c r="U129" s="56">
        <f t="shared" si="42"/>
        <v>6.9711104768118703E-3</v>
      </c>
      <c r="V129" s="37" t="e">
        <f t="shared" si="40"/>
        <v>#DIV/0!</v>
      </c>
    </row>
    <row r="130" spans="2:22" x14ac:dyDescent="0.2">
      <c r="B130" s="50">
        <f t="shared" si="31"/>
        <v>119</v>
      </c>
      <c r="C130" s="53" t="e">
        <f t="shared" si="32"/>
        <v>#DIV/0!</v>
      </c>
      <c r="D130" s="47" t="e" cm="1">
        <f t="array" ref="D130">_xlfn.IFS(AND($C$7="Y",B130&lt;C$4),D129,AND(C$7="N",B130&lt;C$4, C$6=0),D129,AND($C$7="Y",B130=C$4),D129+F130-L130+N130-J130,AND($C$7="Y",B130&gt;C$4),(D129-J130)*(1-S130-U130), TRUE, (D129-J130)*(1-S130-U130))</f>
        <v>#DIV/0!</v>
      </c>
      <c r="E130" s="48">
        <f t="shared" si="33"/>
        <v>0</v>
      </c>
      <c r="F130" s="52">
        <f t="shared" si="41"/>
        <v>0</v>
      </c>
      <c r="G130" s="52">
        <f t="shared" si="43"/>
        <v>0</v>
      </c>
      <c r="H130" s="53" t="e">
        <f t="shared" si="34"/>
        <v>#DIV/0!</v>
      </c>
      <c r="I130" s="54" t="e">
        <f t="shared" si="48"/>
        <v>#DIV/0!</v>
      </c>
      <c r="J130" s="55" t="e">
        <f t="shared" si="47"/>
        <v>#DIV/0!</v>
      </c>
      <c r="K130" s="54" t="e" cm="1">
        <f t="array" ref="K130">_xlfn.IFS(AND($C$7="Y",B130=C$4),0,AND($C$7="N",B130=C$4),0,TRUE,((D129-D130)-L130+N130))</f>
        <v>#DIV/0!</v>
      </c>
      <c r="L130" s="51" t="e">
        <f t="shared" si="35"/>
        <v>#DIV/0!</v>
      </c>
      <c r="M130" s="51">
        <f t="shared" si="46"/>
        <v>0</v>
      </c>
      <c r="N130" s="51">
        <f t="shared" si="45"/>
        <v>0</v>
      </c>
      <c r="O130" s="48" t="e">
        <f t="shared" si="44"/>
        <v>#DIV/0!</v>
      </c>
      <c r="P130" s="37" t="e">
        <f t="shared" si="36"/>
        <v>#DIV/0!</v>
      </c>
      <c r="Q130" s="56"/>
      <c r="R130" s="56">
        <f t="shared" si="37"/>
        <v>0.12</v>
      </c>
      <c r="S130" s="56">
        <f t="shared" si="38"/>
        <v>1.0596241035318976E-2</v>
      </c>
      <c r="T130" s="56">
        <f t="shared" si="39"/>
        <v>8.0519338057870024E-2</v>
      </c>
      <c r="U130" s="56">
        <f t="shared" si="42"/>
        <v>6.9711104768118703E-3</v>
      </c>
      <c r="V130" s="37" t="e">
        <f t="shared" si="40"/>
        <v>#DIV/0!</v>
      </c>
    </row>
    <row r="131" spans="2:22" x14ac:dyDescent="0.2">
      <c r="B131" s="50">
        <f t="shared" si="31"/>
        <v>120</v>
      </c>
      <c r="C131" s="53" t="e">
        <f t="shared" si="32"/>
        <v>#DIV/0!</v>
      </c>
      <c r="D131" s="47" t="e" cm="1">
        <f t="array" ref="D131">_xlfn.IFS(AND($C$7="Y",B131&lt;C$4),D130,AND(C$7="N",B131&lt;C$4, C$6=0),D130,AND($C$7="Y",B131=C$4),D130+F131-L131+N131-J131,AND($C$7="Y",B131&gt;C$4),(D130-J131)*(1-S131-U131), TRUE, (D130-J131)*(1-S131-U131))</f>
        <v>#DIV/0!</v>
      </c>
      <c r="E131" s="48">
        <f t="shared" si="33"/>
        <v>0</v>
      </c>
      <c r="F131" s="52">
        <f t="shared" si="41"/>
        <v>0</v>
      </c>
      <c r="G131" s="52">
        <f t="shared" si="43"/>
        <v>0</v>
      </c>
      <c r="H131" s="53" t="e">
        <f t="shared" si="34"/>
        <v>#DIV/0!</v>
      </c>
      <c r="I131" s="54" t="e">
        <f t="shared" si="48"/>
        <v>#DIV/0!</v>
      </c>
      <c r="J131" s="55" t="e">
        <f t="shared" si="47"/>
        <v>#DIV/0!</v>
      </c>
      <c r="K131" s="54" t="e" cm="1">
        <f t="array" ref="K131">_xlfn.IFS(AND($C$7="Y",B131=C$4),0,AND($C$7="N",B131=C$4),0,TRUE,((D130-D131)-L131+N131))</f>
        <v>#DIV/0!</v>
      </c>
      <c r="L131" s="51" t="e">
        <f t="shared" si="35"/>
        <v>#DIV/0!</v>
      </c>
      <c r="M131" s="51">
        <f t="shared" si="46"/>
        <v>0</v>
      </c>
      <c r="N131" s="51">
        <f t="shared" si="45"/>
        <v>0</v>
      </c>
      <c r="O131" s="48" t="e">
        <f t="shared" si="44"/>
        <v>#DIV/0!</v>
      </c>
      <c r="P131" s="37" t="e">
        <f t="shared" si="36"/>
        <v>#DIV/0!</v>
      </c>
      <c r="Q131" s="56"/>
      <c r="R131" s="56">
        <f t="shared" si="37"/>
        <v>0.12</v>
      </c>
      <c r="S131" s="56">
        <f t="shared" si="38"/>
        <v>1.0596241035318976E-2</v>
      </c>
      <c r="T131" s="56">
        <f t="shared" si="39"/>
        <v>8.0519338057870024E-2</v>
      </c>
      <c r="U131" s="56">
        <f t="shared" si="42"/>
        <v>6.9711104768118703E-3</v>
      </c>
      <c r="V131" s="37" t="e">
        <f t="shared" si="40"/>
        <v>#DIV/0!</v>
      </c>
    </row>
    <row r="132" spans="2:22" x14ac:dyDescent="0.2">
      <c r="B132" s="50">
        <f t="shared" si="31"/>
        <v>121</v>
      </c>
      <c r="C132" s="53" t="e">
        <f t="shared" si="32"/>
        <v>#DIV/0!</v>
      </c>
      <c r="D132" s="47" t="e" cm="1">
        <f t="array" ref="D132">_xlfn.IFS(AND($C$7="Y",B132&lt;C$4),D131,AND(C$7="N",B132&lt;C$4, C$6=0),D131,AND($C$7="Y",B132=C$4),D131+F132-L132+N132-J132,AND($C$7="Y",B132&gt;C$4),(D131-J132)*(1-S132-U132), TRUE, (D131-J132)*(1-S132-U132))</f>
        <v>#DIV/0!</v>
      </c>
      <c r="E132" s="48">
        <f t="shared" si="33"/>
        <v>0</v>
      </c>
      <c r="F132" s="52">
        <f t="shared" si="41"/>
        <v>0</v>
      </c>
      <c r="G132" s="52">
        <f t="shared" si="43"/>
        <v>0</v>
      </c>
      <c r="H132" s="53" t="e">
        <f t="shared" si="34"/>
        <v>#DIV/0!</v>
      </c>
      <c r="I132" s="54" t="e">
        <f t="shared" si="48"/>
        <v>#DIV/0!</v>
      </c>
      <c r="J132" s="55" t="e">
        <f t="shared" si="47"/>
        <v>#DIV/0!</v>
      </c>
      <c r="K132" s="54" t="e" cm="1">
        <f t="array" ref="K132">_xlfn.IFS(AND($C$7="Y",B132=C$4),0,AND($C$7="N",B132=C$4),0,TRUE,((D131-D132)-L132+N132))</f>
        <v>#DIV/0!</v>
      </c>
      <c r="L132" s="51" t="e">
        <f t="shared" si="35"/>
        <v>#DIV/0!</v>
      </c>
      <c r="M132" s="51">
        <f t="shared" si="46"/>
        <v>0</v>
      </c>
      <c r="N132" s="51">
        <f t="shared" si="45"/>
        <v>0</v>
      </c>
      <c r="O132" s="48" t="e">
        <f t="shared" si="44"/>
        <v>#DIV/0!</v>
      </c>
      <c r="P132" s="37" t="e">
        <f t="shared" si="36"/>
        <v>#DIV/0!</v>
      </c>
      <c r="Q132" s="56"/>
      <c r="R132" s="56">
        <f t="shared" si="37"/>
        <v>0.12</v>
      </c>
      <c r="S132" s="56">
        <f t="shared" si="38"/>
        <v>1.0596241035318976E-2</v>
      </c>
      <c r="T132" s="56">
        <f t="shared" si="39"/>
        <v>8.0519338057870024E-2</v>
      </c>
      <c r="U132" s="56">
        <f t="shared" si="42"/>
        <v>6.9711104768118703E-3</v>
      </c>
      <c r="V132" s="37" t="e">
        <f t="shared" si="40"/>
        <v>#DIV/0!</v>
      </c>
    </row>
    <row r="133" spans="2:22" x14ac:dyDescent="0.2">
      <c r="B133" s="50">
        <f t="shared" si="31"/>
        <v>122</v>
      </c>
      <c r="C133" s="53" t="e">
        <f t="shared" si="32"/>
        <v>#DIV/0!</v>
      </c>
      <c r="D133" s="47" t="e" cm="1">
        <f t="array" ref="D133">_xlfn.IFS(AND($C$7="Y",B133&lt;C$4),D132,AND(C$7="N",B133&lt;C$4, C$6=0),D132,AND($C$7="Y",B133=C$4),D132+F133-L133+N133-J133,AND($C$7="Y",B133&gt;C$4),(D132-J133)*(1-S133-U133), TRUE, (D132-J133)*(1-S133-U133))</f>
        <v>#DIV/0!</v>
      </c>
      <c r="E133" s="48">
        <f t="shared" si="33"/>
        <v>0</v>
      </c>
      <c r="F133" s="52">
        <f t="shared" si="41"/>
        <v>0</v>
      </c>
      <c r="G133" s="52">
        <f t="shared" si="43"/>
        <v>0</v>
      </c>
      <c r="H133" s="53" t="e">
        <f t="shared" si="34"/>
        <v>#DIV/0!</v>
      </c>
      <c r="I133" s="54" t="e">
        <f t="shared" si="48"/>
        <v>#DIV/0!</v>
      </c>
      <c r="J133" s="55" t="e">
        <f t="shared" si="47"/>
        <v>#DIV/0!</v>
      </c>
      <c r="K133" s="54" t="e" cm="1">
        <f t="array" ref="K133">_xlfn.IFS(AND($C$7="Y",B133=C$4),0,AND($C$7="N",B133=C$4),0,TRUE,((D132-D133)-L133+N133))</f>
        <v>#DIV/0!</v>
      </c>
      <c r="L133" s="51" t="e">
        <f t="shared" si="35"/>
        <v>#DIV/0!</v>
      </c>
      <c r="M133" s="51">
        <f t="shared" si="46"/>
        <v>0</v>
      </c>
      <c r="N133" s="51">
        <f t="shared" si="45"/>
        <v>0</v>
      </c>
      <c r="O133" s="48" t="e">
        <f t="shared" si="44"/>
        <v>#DIV/0!</v>
      </c>
      <c r="P133" s="37" t="e">
        <f t="shared" si="36"/>
        <v>#DIV/0!</v>
      </c>
      <c r="Q133" s="56"/>
      <c r="R133" s="56">
        <f t="shared" si="37"/>
        <v>0.12</v>
      </c>
      <c r="S133" s="56">
        <f t="shared" si="38"/>
        <v>1.0596241035318976E-2</v>
      </c>
      <c r="T133" s="56">
        <f t="shared" si="39"/>
        <v>8.0519338057870024E-2</v>
      </c>
      <c r="U133" s="56">
        <f t="shared" si="42"/>
        <v>6.9711104768118703E-3</v>
      </c>
      <c r="V133" s="37" t="e">
        <f t="shared" si="40"/>
        <v>#DIV/0!</v>
      </c>
    </row>
    <row r="134" spans="2:22" x14ac:dyDescent="0.2">
      <c r="B134" s="50">
        <f t="shared" si="31"/>
        <v>123</v>
      </c>
      <c r="C134" s="53" t="e">
        <f t="shared" si="32"/>
        <v>#DIV/0!</v>
      </c>
      <c r="D134" s="47" t="e" cm="1">
        <f t="array" ref="D134">_xlfn.IFS(AND($C$7="Y",B134&lt;C$4),D133,AND(C$7="N",B134&lt;C$4, C$6=0),D133,AND($C$7="Y",B134=C$4),D133+F134-L134+N134-J134,AND($C$7="Y",B134&gt;C$4),(D133-J134)*(1-S134-U134), TRUE, (D133-J134)*(1-S134-U134))</f>
        <v>#DIV/0!</v>
      </c>
      <c r="E134" s="48">
        <f t="shared" si="33"/>
        <v>0</v>
      </c>
      <c r="F134" s="52">
        <f t="shared" si="41"/>
        <v>0</v>
      </c>
      <c r="G134" s="52">
        <f t="shared" si="43"/>
        <v>0</v>
      </c>
      <c r="H134" s="53" t="e">
        <f t="shared" si="34"/>
        <v>#DIV/0!</v>
      </c>
      <c r="I134" s="54" t="e">
        <f t="shared" si="48"/>
        <v>#DIV/0!</v>
      </c>
      <c r="J134" s="55" t="e">
        <f t="shared" si="47"/>
        <v>#DIV/0!</v>
      </c>
      <c r="K134" s="54" t="e" cm="1">
        <f t="array" ref="K134">_xlfn.IFS(AND($C$7="Y",B134=C$4),0,AND($C$7="N",B134=C$4),0,TRUE,((D133-D134)-L134+N134))</f>
        <v>#DIV/0!</v>
      </c>
      <c r="L134" s="51" t="e">
        <f t="shared" si="35"/>
        <v>#DIV/0!</v>
      </c>
      <c r="M134" s="51">
        <f t="shared" si="46"/>
        <v>0</v>
      </c>
      <c r="N134" s="51">
        <f t="shared" si="45"/>
        <v>0</v>
      </c>
      <c r="O134" s="48" t="e">
        <f t="shared" si="44"/>
        <v>#DIV/0!</v>
      </c>
      <c r="P134" s="37" t="e">
        <f t="shared" si="36"/>
        <v>#DIV/0!</v>
      </c>
      <c r="Q134" s="56"/>
      <c r="R134" s="56">
        <f t="shared" si="37"/>
        <v>0.12</v>
      </c>
      <c r="S134" s="56">
        <f t="shared" si="38"/>
        <v>1.0596241035318976E-2</v>
      </c>
      <c r="T134" s="56">
        <f t="shared" si="39"/>
        <v>8.0519338057870024E-2</v>
      </c>
      <c r="U134" s="56">
        <f t="shared" si="42"/>
        <v>6.9711104768118703E-3</v>
      </c>
      <c r="V134" s="37" t="e">
        <f t="shared" si="40"/>
        <v>#DIV/0!</v>
      </c>
    </row>
    <row r="135" spans="2:22" x14ac:dyDescent="0.2">
      <c r="B135" s="50">
        <f t="shared" si="31"/>
        <v>124</v>
      </c>
      <c r="C135" s="53" t="e">
        <f t="shared" si="32"/>
        <v>#DIV/0!</v>
      </c>
      <c r="D135" s="47" t="e" cm="1">
        <f t="array" ref="D135">_xlfn.IFS(AND($C$7="Y",B135&lt;C$4),D134,AND(C$7="N",B135&lt;C$4, C$6=0),D134,AND($C$7="Y",B135=C$4),D134+F135-L135+N135-J135,AND($C$7="Y",B135&gt;C$4),(D134-J135)*(1-S135-U135), TRUE, (D134-J135)*(1-S135-U135))</f>
        <v>#DIV/0!</v>
      </c>
      <c r="E135" s="48">
        <f t="shared" si="33"/>
        <v>0</v>
      </c>
      <c r="F135" s="52">
        <f t="shared" si="41"/>
        <v>0</v>
      </c>
      <c r="G135" s="52">
        <f t="shared" si="43"/>
        <v>0</v>
      </c>
      <c r="H135" s="53" t="e">
        <f t="shared" si="34"/>
        <v>#DIV/0!</v>
      </c>
      <c r="I135" s="54" t="e">
        <f t="shared" si="48"/>
        <v>#DIV/0!</v>
      </c>
      <c r="J135" s="55" t="e">
        <f t="shared" si="47"/>
        <v>#DIV/0!</v>
      </c>
      <c r="K135" s="54" t="e" cm="1">
        <f t="array" ref="K135">_xlfn.IFS(AND($C$7="Y",B135=C$4),0,AND($C$7="N",B135=C$4),0,TRUE,((D134-D135)-L135+N135))</f>
        <v>#DIV/0!</v>
      </c>
      <c r="L135" s="51" t="e">
        <f t="shared" si="35"/>
        <v>#DIV/0!</v>
      </c>
      <c r="M135" s="51">
        <f t="shared" si="46"/>
        <v>0</v>
      </c>
      <c r="N135" s="51">
        <f t="shared" si="45"/>
        <v>0</v>
      </c>
      <c r="O135" s="48" t="e">
        <f t="shared" si="44"/>
        <v>#DIV/0!</v>
      </c>
      <c r="P135" s="37" t="e">
        <f t="shared" si="36"/>
        <v>#DIV/0!</v>
      </c>
      <c r="Q135" s="56"/>
      <c r="R135" s="56">
        <f t="shared" si="37"/>
        <v>0.12</v>
      </c>
      <c r="S135" s="56">
        <f t="shared" si="38"/>
        <v>1.0596241035318976E-2</v>
      </c>
      <c r="T135" s="56">
        <f t="shared" si="39"/>
        <v>8.0519338057870024E-2</v>
      </c>
      <c r="U135" s="56">
        <f t="shared" si="42"/>
        <v>6.9711104768118703E-3</v>
      </c>
      <c r="V135" s="37" t="e">
        <f t="shared" si="40"/>
        <v>#DIV/0!</v>
      </c>
    </row>
    <row r="136" spans="2:22" x14ac:dyDescent="0.2">
      <c r="B136" s="50">
        <f t="shared" si="31"/>
        <v>125</v>
      </c>
      <c r="C136" s="53" t="e">
        <f t="shared" si="32"/>
        <v>#DIV/0!</v>
      </c>
      <c r="D136" s="47" t="e" cm="1">
        <f t="array" ref="D136">_xlfn.IFS(AND($C$7="Y",B136&lt;C$4),D135,AND(C$7="N",B136&lt;C$4, C$6=0),D135,AND($C$7="Y",B136=C$4),D135+F136-L136+N136-J136,AND($C$7="Y",B136&gt;C$4),(D135-J136)*(1-S136-U136), TRUE, (D135-J136)*(1-S136-U136))</f>
        <v>#DIV/0!</v>
      </c>
      <c r="E136" s="48">
        <f t="shared" si="33"/>
        <v>0</v>
      </c>
      <c r="F136" s="52">
        <f t="shared" si="41"/>
        <v>0</v>
      </c>
      <c r="G136" s="52">
        <f t="shared" si="43"/>
        <v>0</v>
      </c>
      <c r="H136" s="53" t="e">
        <f t="shared" si="34"/>
        <v>#DIV/0!</v>
      </c>
      <c r="I136" s="54" t="e">
        <f t="shared" si="48"/>
        <v>#DIV/0!</v>
      </c>
      <c r="J136" s="55" t="e">
        <f t="shared" si="47"/>
        <v>#DIV/0!</v>
      </c>
      <c r="K136" s="54" t="e" cm="1">
        <f t="array" ref="K136">_xlfn.IFS(AND($C$7="Y",B136=C$4),0,AND($C$7="N",B136=C$4),0,TRUE,((D135-D136)-L136+N136))</f>
        <v>#DIV/0!</v>
      </c>
      <c r="L136" s="51" t="e">
        <f t="shared" si="35"/>
        <v>#DIV/0!</v>
      </c>
      <c r="M136" s="51">
        <f t="shared" si="46"/>
        <v>0</v>
      </c>
      <c r="N136" s="51">
        <f t="shared" si="45"/>
        <v>0</v>
      </c>
      <c r="O136" s="48" t="e">
        <f t="shared" si="44"/>
        <v>#DIV/0!</v>
      </c>
      <c r="P136" s="37" t="e">
        <f t="shared" si="36"/>
        <v>#DIV/0!</v>
      </c>
      <c r="Q136" s="56"/>
      <c r="R136" s="56">
        <f t="shared" si="37"/>
        <v>0.12</v>
      </c>
      <c r="S136" s="56">
        <f t="shared" si="38"/>
        <v>1.0596241035318976E-2</v>
      </c>
      <c r="T136" s="56">
        <f t="shared" si="39"/>
        <v>8.0519338057870024E-2</v>
      </c>
      <c r="U136" s="56">
        <f t="shared" si="42"/>
        <v>6.9711104768118703E-3</v>
      </c>
      <c r="V136" s="37" t="e">
        <f t="shared" si="40"/>
        <v>#DIV/0!</v>
      </c>
    </row>
    <row r="137" spans="2:22" x14ac:dyDescent="0.2">
      <c r="B137" s="50">
        <f t="shared" si="31"/>
        <v>126</v>
      </c>
      <c r="C137" s="53" t="e">
        <f t="shared" si="32"/>
        <v>#DIV/0!</v>
      </c>
      <c r="D137" s="47" t="e" cm="1">
        <f t="array" ref="D137">_xlfn.IFS(AND($C$7="Y",B137&lt;C$4),D136,AND(C$7="N",B137&lt;C$4, C$6=0),D136,AND($C$7="Y",B137=C$4),D136+F137-L137+N137-J137,AND($C$7="Y",B137&gt;C$4),(D136-J137)*(1-S137-U137), TRUE, (D136-J137)*(1-S137-U137))</f>
        <v>#DIV/0!</v>
      </c>
      <c r="E137" s="48">
        <f t="shared" si="33"/>
        <v>0</v>
      </c>
      <c r="F137" s="52">
        <f t="shared" si="41"/>
        <v>0</v>
      </c>
      <c r="G137" s="52">
        <f t="shared" si="43"/>
        <v>0</v>
      </c>
      <c r="H137" s="53" t="e">
        <f t="shared" si="34"/>
        <v>#DIV/0!</v>
      </c>
      <c r="I137" s="54" t="e">
        <f t="shared" si="48"/>
        <v>#DIV/0!</v>
      </c>
      <c r="J137" s="55" t="e">
        <f t="shared" si="47"/>
        <v>#DIV/0!</v>
      </c>
      <c r="K137" s="54" t="e" cm="1">
        <f t="array" ref="K137">_xlfn.IFS(AND($C$7="Y",B137=C$4),0,AND($C$7="N",B137=C$4),0,TRUE,((D136-D137)-L137+N137))</f>
        <v>#DIV/0!</v>
      </c>
      <c r="L137" s="51" t="e">
        <f t="shared" si="35"/>
        <v>#DIV/0!</v>
      </c>
      <c r="M137" s="51">
        <f t="shared" si="46"/>
        <v>0</v>
      </c>
      <c r="N137" s="51">
        <f t="shared" si="45"/>
        <v>0</v>
      </c>
      <c r="O137" s="48" t="e">
        <f t="shared" si="44"/>
        <v>#DIV/0!</v>
      </c>
      <c r="P137" s="37" t="e">
        <f t="shared" si="36"/>
        <v>#DIV/0!</v>
      </c>
      <c r="Q137" s="56"/>
      <c r="R137" s="56">
        <f t="shared" si="37"/>
        <v>0.12</v>
      </c>
      <c r="S137" s="56">
        <f t="shared" si="38"/>
        <v>1.0596241035318976E-2</v>
      </c>
      <c r="T137" s="56">
        <f t="shared" si="39"/>
        <v>8.0519338057870024E-2</v>
      </c>
      <c r="U137" s="56">
        <f t="shared" si="42"/>
        <v>6.9711104768118703E-3</v>
      </c>
      <c r="V137" s="37" t="e">
        <f t="shared" si="40"/>
        <v>#DIV/0!</v>
      </c>
    </row>
    <row r="138" spans="2:22" x14ac:dyDescent="0.2">
      <c r="B138" s="50">
        <f t="shared" si="31"/>
        <v>127</v>
      </c>
      <c r="C138" s="53" t="e">
        <f t="shared" si="32"/>
        <v>#DIV/0!</v>
      </c>
      <c r="D138" s="47" t="e" cm="1">
        <f t="array" ref="D138">_xlfn.IFS(AND($C$7="Y",B138&lt;C$4),D137,AND(C$7="N",B138&lt;C$4, C$6=0),D137,AND($C$7="Y",B138=C$4),D137+F138-L138+N138-J138,AND($C$7="Y",B138&gt;C$4),(D137-J138)*(1-S138-U138), TRUE, (D137-J138)*(1-S138-U138))</f>
        <v>#DIV/0!</v>
      </c>
      <c r="E138" s="48">
        <f t="shared" si="33"/>
        <v>0</v>
      </c>
      <c r="F138" s="52">
        <f t="shared" si="41"/>
        <v>0</v>
      </c>
      <c r="G138" s="52">
        <f t="shared" si="43"/>
        <v>0</v>
      </c>
      <c r="H138" s="53" t="e">
        <f t="shared" si="34"/>
        <v>#DIV/0!</v>
      </c>
      <c r="I138" s="54" t="e">
        <f t="shared" si="48"/>
        <v>#DIV/0!</v>
      </c>
      <c r="J138" s="55" t="e">
        <f t="shared" si="47"/>
        <v>#DIV/0!</v>
      </c>
      <c r="K138" s="54" t="e" cm="1">
        <f t="array" ref="K138">_xlfn.IFS(AND($C$7="Y",B138=C$4),0,AND($C$7="N",B138=C$4),0,TRUE,((D137-D138)-L138+N138))</f>
        <v>#DIV/0!</v>
      </c>
      <c r="L138" s="51" t="e">
        <f t="shared" si="35"/>
        <v>#DIV/0!</v>
      </c>
      <c r="M138" s="51">
        <f t="shared" si="46"/>
        <v>0</v>
      </c>
      <c r="N138" s="51">
        <f t="shared" si="45"/>
        <v>0</v>
      </c>
      <c r="O138" s="48" t="e">
        <f t="shared" si="44"/>
        <v>#DIV/0!</v>
      </c>
      <c r="P138" s="37" t="e">
        <f t="shared" si="36"/>
        <v>#DIV/0!</v>
      </c>
      <c r="Q138" s="56"/>
      <c r="R138" s="56">
        <f t="shared" si="37"/>
        <v>0.12</v>
      </c>
      <c r="S138" s="56">
        <f t="shared" si="38"/>
        <v>1.0596241035318976E-2</v>
      </c>
      <c r="T138" s="56">
        <f t="shared" si="39"/>
        <v>8.0519338057870024E-2</v>
      </c>
      <c r="U138" s="56">
        <f t="shared" si="42"/>
        <v>6.9711104768118703E-3</v>
      </c>
      <c r="V138" s="37" t="e">
        <f t="shared" si="40"/>
        <v>#DIV/0!</v>
      </c>
    </row>
    <row r="139" spans="2:22" x14ac:dyDescent="0.2">
      <c r="B139" s="50">
        <f t="shared" si="31"/>
        <v>128</v>
      </c>
      <c r="C139" s="53" t="e">
        <f t="shared" si="32"/>
        <v>#DIV/0!</v>
      </c>
      <c r="D139" s="47" t="e" cm="1">
        <f t="array" ref="D139">_xlfn.IFS(AND($C$7="Y",B139&lt;C$4),D138,AND(C$7="N",B139&lt;C$4, C$6=0),D138,AND($C$7="Y",B139=C$4),D138+F139-L139+N139-J139,AND($C$7="Y",B139&gt;C$4),(D138-J139)*(1-S139-U139), TRUE, (D138-J139)*(1-S139-U139))</f>
        <v>#DIV/0!</v>
      </c>
      <c r="E139" s="48">
        <f t="shared" si="33"/>
        <v>0</v>
      </c>
      <c r="F139" s="52">
        <f t="shared" si="41"/>
        <v>0</v>
      </c>
      <c r="G139" s="52">
        <f t="shared" si="43"/>
        <v>0</v>
      </c>
      <c r="H139" s="53" t="e">
        <f t="shared" si="34"/>
        <v>#DIV/0!</v>
      </c>
      <c r="I139" s="54" t="e">
        <f t="shared" si="48"/>
        <v>#DIV/0!</v>
      </c>
      <c r="J139" s="55" t="e">
        <f t="shared" si="47"/>
        <v>#DIV/0!</v>
      </c>
      <c r="K139" s="54" t="e" cm="1">
        <f t="array" ref="K139">_xlfn.IFS(AND($C$7="Y",B139=C$4),0,AND($C$7="N",B139=C$4),0,TRUE,((D138-D139)-L139+N139))</f>
        <v>#DIV/0!</v>
      </c>
      <c r="L139" s="51" t="e">
        <f t="shared" si="35"/>
        <v>#DIV/0!</v>
      </c>
      <c r="M139" s="51">
        <f t="shared" si="46"/>
        <v>0</v>
      </c>
      <c r="N139" s="51">
        <f t="shared" si="45"/>
        <v>0</v>
      </c>
      <c r="O139" s="48" t="e">
        <f t="shared" si="44"/>
        <v>#DIV/0!</v>
      </c>
      <c r="P139" s="37" t="e">
        <f t="shared" si="36"/>
        <v>#DIV/0!</v>
      </c>
      <c r="Q139" s="56"/>
      <c r="R139" s="56">
        <f t="shared" si="37"/>
        <v>0.12</v>
      </c>
      <c r="S139" s="56">
        <f t="shared" si="38"/>
        <v>1.0596241035318976E-2</v>
      </c>
      <c r="T139" s="56">
        <f t="shared" si="39"/>
        <v>8.0519338057870024E-2</v>
      </c>
      <c r="U139" s="56">
        <f t="shared" si="42"/>
        <v>6.9711104768118703E-3</v>
      </c>
      <c r="V139" s="37" t="e">
        <f t="shared" si="40"/>
        <v>#DIV/0!</v>
      </c>
    </row>
    <row r="140" spans="2:22" x14ac:dyDescent="0.2">
      <c r="B140" s="50">
        <f t="shared" si="31"/>
        <v>129</v>
      </c>
      <c r="C140" s="53" t="e">
        <f t="shared" si="32"/>
        <v>#DIV/0!</v>
      </c>
      <c r="D140" s="47" t="e" cm="1">
        <f t="array" ref="D140">_xlfn.IFS(AND($C$7="Y",B140&lt;C$4),D139,AND(C$7="N",B140&lt;C$4, C$6=0),D139,AND($C$7="Y",B140=C$4),D139+F140-L140+N140-J140,AND($C$7="Y",B140&gt;C$4),(D139-J140)*(1-S140-U140), TRUE, (D139-J140)*(1-S140-U140))</f>
        <v>#DIV/0!</v>
      </c>
      <c r="E140" s="48">
        <f t="shared" si="33"/>
        <v>0</v>
      </c>
      <c r="F140" s="52">
        <f t="shared" si="41"/>
        <v>0</v>
      </c>
      <c r="G140" s="52">
        <f t="shared" si="43"/>
        <v>0</v>
      </c>
      <c r="H140" s="53" t="e">
        <f t="shared" si="34"/>
        <v>#DIV/0!</v>
      </c>
      <c r="I140" s="54" t="e">
        <f t="shared" si="48"/>
        <v>#DIV/0!</v>
      </c>
      <c r="J140" s="55" t="e">
        <f t="shared" si="47"/>
        <v>#DIV/0!</v>
      </c>
      <c r="K140" s="54" t="e" cm="1">
        <f t="array" ref="K140">_xlfn.IFS(AND($C$7="Y",B140=C$4),0,AND($C$7="N",B140=C$4),0,TRUE,((D139-D140)-L140+N140))</f>
        <v>#DIV/0!</v>
      </c>
      <c r="L140" s="51" t="e">
        <f t="shared" si="35"/>
        <v>#DIV/0!</v>
      </c>
      <c r="M140" s="51">
        <f t="shared" si="46"/>
        <v>0</v>
      </c>
      <c r="N140" s="51">
        <f t="shared" si="45"/>
        <v>0</v>
      </c>
      <c r="O140" s="48" t="e">
        <f t="shared" si="44"/>
        <v>#DIV/0!</v>
      </c>
      <c r="P140" s="37" t="e">
        <f t="shared" si="36"/>
        <v>#DIV/0!</v>
      </c>
      <c r="Q140" s="56"/>
      <c r="R140" s="56">
        <f t="shared" si="37"/>
        <v>0.12</v>
      </c>
      <c r="S140" s="56">
        <f t="shared" si="38"/>
        <v>1.0596241035318976E-2</v>
      </c>
      <c r="T140" s="56">
        <f t="shared" si="39"/>
        <v>8.0519338057870024E-2</v>
      </c>
      <c r="U140" s="56">
        <f t="shared" si="42"/>
        <v>6.9711104768118703E-3</v>
      </c>
      <c r="V140" s="37" t="e">
        <f t="shared" si="40"/>
        <v>#DIV/0!</v>
      </c>
    </row>
    <row r="141" spans="2:22" x14ac:dyDescent="0.2">
      <c r="B141" s="50">
        <f t="shared" ref="B141:B204" si="49">B140+1</f>
        <v>130</v>
      </c>
      <c r="C141" s="53" t="e">
        <f t="shared" ref="C141:C204" si="50">IF(B141&lt;C$4,C$1,D140-L141+N141)</f>
        <v>#DIV/0!</v>
      </c>
      <c r="D141" s="47" t="e" cm="1">
        <f t="array" ref="D141">_xlfn.IFS(AND($C$7="Y",B141&lt;C$4),D140,AND(C$7="N",B141&lt;C$4, C$6=0),D140,AND($C$7="Y",B141=C$4),D140+F141-L141+N141-J141,AND($C$7="Y",B141&gt;C$4),(D140-J141)*(1-S141-U141), TRUE, (D140-J141)*(1-S141-U141))</f>
        <v>#DIV/0!</v>
      </c>
      <c r="E141" s="48">
        <f t="shared" ref="E141:E204" si="51">IF(AND($C$7="Y",B141&lt;=$C$4),D140*C$2/12-G141,0)</f>
        <v>0</v>
      </c>
      <c r="F141" s="52">
        <f t="shared" si="41"/>
        <v>0</v>
      </c>
      <c r="G141" s="52">
        <f t="shared" si="43"/>
        <v>0</v>
      </c>
      <c r="H141" s="53" t="e">
        <f t="shared" ref="H141:H204" si="52">IF(AND($B141&lt;=$C$4,C$7="Y"),0,IF(AND(C$7="N",C$4&gt;0,B141&lt;=C$4),0,(D140)*C$2/12/(1-(1/(1+C$2/12))^(C$3+C$4-B141+1))))</f>
        <v>#DIV/0!</v>
      </c>
      <c r="I141" s="54" t="e">
        <f t="shared" si="48"/>
        <v>#DIV/0!</v>
      </c>
      <c r="J141" s="55" t="e">
        <f t="shared" si="47"/>
        <v>#DIV/0!</v>
      </c>
      <c r="K141" s="54" t="e" cm="1">
        <f t="array" ref="K141">_xlfn.IFS(AND($C$7="Y",B141=C$4),0,AND($C$7="N",B141=C$4),0,TRUE,((D140-D141)-L141+N141))</f>
        <v>#DIV/0!</v>
      </c>
      <c r="L141" s="51" t="e">
        <f t="shared" ref="L141:L204" si="53">IF(AND(C$7="Y",$B141&lt;=$C$4),0,IF(AND(C$7="N",C$4&gt;0,B141&lt;=C$4),0,U141*D140))</f>
        <v>#DIV/0!</v>
      </c>
      <c r="M141" s="51">
        <f t="shared" si="46"/>
        <v>0</v>
      </c>
      <c r="N141" s="51">
        <f t="shared" si="45"/>
        <v>0</v>
      </c>
      <c r="O141" s="48" t="e">
        <f t="shared" si="44"/>
        <v>#DIV/0!</v>
      </c>
      <c r="P141" s="37" t="e">
        <f t="shared" ref="P141:P204" si="54">O141*(1/((1+P$9)^(B141/12)))</f>
        <v>#DIV/0!</v>
      </c>
      <c r="Q141" s="56"/>
      <c r="R141" s="56">
        <f t="shared" ref="R141:R204" si="55">R$9</f>
        <v>0.12</v>
      </c>
      <c r="S141" s="56">
        <f t="shared" ref="S141:S204" si="56">1-(1-R141)^(1/12)</f>
        <v>1.0596241035318976E-2</v>
      </c>
      <c r="T141" s="56">
        <f t="shared" ref="T141:T204" si="57">T$9</f>
        <v>8.0519338057870024E-2</v>
      </c>
      <c r="U141" s="56">
        <f t="shared" si="42"/>
        <v>6.9711104768118703E-3</v>
      </c>
      <c r="V141" s="37" t="e">
        <f t="shared" ref="V141:V204" si="58">D140-D141</f>
        <v>#DIV/0!</v>
      </c>
    </row>
    <row r="142" spans="2:22" x14ac:dyDescent="0.2">
      <c r="B142" s="50">
        <f t="shared" si="49"/>
        <v>131</v>
      </c>
      <c r="C142" s="53" t="e">
        <f t="shared" si="50"/>
        <v>#DIV/0!</v>
      </c>
      <c r="D142" s="47" t="e" cm="1">
        <f t="array" ref="D142">_xlfn.IFS(AND($C$7="Y",B142&lt;C$4),D141,AND(C$7="N",B142&lt;C$4, C$6=0),D141,AND($C$7="Y",B142=C$4),D141+F142-L142+N142-J142,AND($C$7="Y",B142&gt;C$4),(D141-J142)*(1-S142-U142), TRUE, (D141-J142)*(1-S142-U142))</f>
        <v>#DIV/0!</v>
      </c>
      <c r="E142" s="48">
        <f t="shared" si="51"/>
        <v>0</v>
      </c>
      <c r="F142" s="52">
        <f t="shared" ref="F142:F205" si="59">IF(AND($C$7="Y",B142&lt;=C$4),E142+F141,0)</f>
        <v>0</v>
      </c>
      <c r="G142" s="52">
        <f t="shared" si="43"/>
        <v>0</v>
      </c>
      <c r="H142" s="53" t="e">
        <f t="shared" si="52"/>
        <v>#DIV/0!</v>
      </c>
      <c r="I142" s="54" t="e">
        <f t="shared" si="48"/>
        <v>#DIV/0!</v>
      </c>
      <c r="J142" s="55" t="e">
        <f t="shared" si="47"/>
        <v>#DIV/0!</v>
      </c>
      <c r="K142" s="54" t="e" cm="1">
        <f t="array" ref="K142">_xlfn.IFS(AND($C$7="Y",B142=C$4),0,AND($C$7="N",B142=C$4),0,TRUE,((D141-D142)-L142+N142))</f>
        <v>#DIV/0!</v>
      </c>
      <c r="L142" s="51" t="e">
        <f t="shared" si="53"/>
        <v>#DIV/0!</v>
      </c>
      <c r="M142" s="51">
        <f t="shared" si="46"/>
        <v>0</v>
      </c>
      <c r="N142" s="51">
        <f t="shared" si="45"/>
        <v>0</v>
      </c>
      <c r="O142" s="48" t="e">
        <f t="shared" si="44"/>
        <v>#DIV/0!</v>
      </c>
      <c r="P142" s="37" t="e">
        <f t="shared" si="54"/>
        <v>#DIV/0!</v>
      </c>
      <c r="Q142" s="56"/>
      <c r="R142" s="56">
        <f t="shared" si="55"/>
        <v>0.12</v>
      </c>
      <c r="S142" s="56">
        <f t="shared" si="56"/>
        <v>1.0596241035318976E-2</v>
      </c>
      <c r="T142" s="56">
        <f t="shared" si="57"/>
        <v>8.0519338057870024E-2</v>
      </c>
      <c r="U142" s="56">
        <f t="shared" ref="U142:U205" si="60">1-(1-T142)^(1/12)</f>
        <v>6.9711104768118703E-3</v>
      </c>
      <c r="V142" s="37" t="e">
        <f t="shared" si="58"/>
        <v>#DIV/0!</v>
      </c>
    </row>
    <row r="143" spans="2:22" x14ac:dyDescent="0.2">
      <c r="B143" s="50">
        <f t="shared" si="49"/>
        <v>132</v>
      </c>
      <c r="C143" s="53" t="e">
        <f t="shared" si="50"/>
        <v>#DIV/0!</v>
      </c>
      <c r="D143" s="47" t="e" cm="1">
        <f t="array" ref="D143">_xlfn.IFS(AND($C$7="Y",B143&lt;C$4),D142,AND(C$7="N",B143&lt;C$4, C$6=0),D142,AND($C$7="Y",B143=C$4),D142+F143-L143+N143-J143,AND($C$7="Y",B143&gt;C$4),(D142-J143)*(1-S143-U143), TRUE, (D142-J143)*(1-S143-U143))</f>
        <v>#DIV/0!</v>
      </c>
      <c r="E143" s="48">
        <f t="shared" si="51"/>
        <v>0</v>
      </c>
      <c r="F143" s="52">
        <f t="shared" si="59"/>
        <v>0</v>
      </c>
      <c r="G143" s="52">
        <f t="shared" ref="G143:G206" si="61">IF($B143&lt;=$C$4,C$6,0)</f>
        <v>0</v>
      </c>
      <c r="H143" s="53" t="e">
        <f t="shared" si="52"/>
        <v>#DIV/0!</v>
      </c>
      <c r="I143" s="54" t="e">
        <f t="shared" si="48"/>
        <v>#DIV/0!</v>
      </c>
      <c r="J143" s="55" t="e">
        <f t="shared" si="47"/>
        <v>#DIV/0!</v>
      </c>
      <c r="K143" s="54" t="e" cm="1">
        <f t="array" ref="K143">_xlfn.IFS(AND($C$7="Y",B143=C$4),0,AND($C$7="N",B143=C$4),0,TRUE,((D142-D143)-L143+N143))</f>
        <v>#DIV/0!</v>
      </c>
      <c r="L143" s="51" t="e">
        <f t="shared" si="53"/>
        <v>#DIV/0!</v>
      </c>
      <c r="M143" s="51">
        <f t="shared" si="46"/>
        <v>0</v>
      </c>
      <c r="N143" s="51">
        <f t="shared" si="45"/>
        <v>0</v>
      </c>
      <c r="O143" s="48" t="e">
        <f t="shared" si="44"/>
        <v>#DIV/0!</v>
      </c>
      <c r="P143" s="37" t="e">
        <f t="shared" si="54"/>
        <v>#DIV/0!</v>
      </c>
      <c r="Q143" s="56"/>
      <c r="R143" s="56">
        <f t="shared" si="55"/>
        <v>0.12</v>
      </c>
      <c r="S143" s="56">
        <f t="shared" si="56"/>
        <v>1.0596241035318976E-2</v>
      </c>
      <c r="T143" s="56">
        <f t="shared" si="57"/>
        <v>8.0519338057870024E-2</v>
      </c>
      <c r="U143" s="56">
        <f t="shared" si="60"/>
        <v>6.9711104768118703E-3</v>
      </c>
      <c r="V143" s="37" t="e">
        <f t="shared" si="58"/>
        <v>#DIV/0!</v>
      </c>
    </row>
    <row r="144" spans="2:22" x14ac:dyDescent="0.2">
      <c r="B144" s="50">
        <f t="shared" si="49"/>
        <v>133</v>
      </c>
      <c r="C144" s="53" t="e">
        <f t="shared" si="50"/>
        <v>#DIV/0!</v>
      </c>
      <c r="D144" s="47" t="e" cm="1">
        <f t="array" ref="D144">_xlfn.IFS(AND($C$7="Y",B144&lt;C$4),D143,AND(C$7="N",B144&lt;C$4, C$6=0),D143,AND($C$7="Y",B144=C$4),D143+F144-L144+N144-J144,AND($C$7="Y",B144&gt;C$4),(D143-J144)*(1-S144-U144), TRUE, (D143-J144)*(1-S144-U144))</f>
        <v>#DIV/0!</v>
      </c>
      <c r="E144" s="48">
        <f t="shared" si="51"/>
        <v>0</v>
      </c>
      <c r="F144" s="52">
        <f t="shared" si="59"/>
        <v>0</v>
      </c>
      <c r="G144" s="52">
        <f t="shared" si="61"/>
        <v>0</v>
      </c>
      <c r="H144" s="53" t="e">
        <f t="shared" si="52"/>
        <v>#DIV/0!</v>
      </c>
      <c r="I144" s="54" t="e">
        <f t="shared" si="48"/>
        <v>#DIV/0!</v>
      </c>
      <c r="J144" s="55" t="e">
        <f t="shared" si="47"/>
        <v>#DIV/0!</v>
      </c>
      <c r="K144" s="54" t="e" cm="1">
        <f t="array" ref="K144">_xlfn.IFS(AND($C$7="Y",B144=C$4),0,AND($C$7="N",B144=C$4),0,TRUE,((D143-D144)-L144+N144))</f>
        <v>#DIV/0!</v>
      </c>
      <c r="L144" s="51" t="e">
        <f t="shared" si="53"/>
        <v>#DIV/0!</v>
      </c>
      <c r="M144" s="51">
        <f t="shared" si="46"/>
        <v>0</v>
      </c>
      <c r="N144" s="51">
        <f t="shared" si="45"/>
        <v>0</v>
      </c>
      <c r="O144" s="48" t="e">
        <f t="shared" si="44"/>
        <v>#DIV/0!</v>
      </c>
      <c r="P144" s="37" t="e">
        <f t="shared" si="54"/>
        <v>#DIV/0!</v>
      </c>
      <c r="Q144" s="56"/>
      <c r="R144" s="56">
        <f t="shared" si="55"/>
        <v>0.12</v>
      </c>
      <c r="S144" s="56">
        <f t="shared" si="56"/>
        <v>1.0596241035318976E-2</v>
      </c>
      <c r="T144" s="56">
        <f t="shared" si="57"/>
        <v>8.0519338057870024E-2</v>
      </c>
      <c r="U144" s="56">
        <f t="shared" si="60"/>
        <v>6.9711104768118703E-3</v>
      </c>
      <c r="V144" s="37" t="e">
        <f t="shared" si="58"/>
        <v>#DIV/0!</v>
      </c>
    </row>
    <row r="145" spans="2:22" x14ac:dyDescent="0.2">
      <c r="B145" s="50">
        <f t="shared" si="49"/>
        <v>134</v>
      </c>
      <c r="C145" s="53" t="e">
        <f t="shared" si="50"/>
        <v>#DIV/0!</v>
      </c>
      <c r="D145" s="47" t="e" cm="1">
        <f t="array" ref="D145">_xlfn.IFS(AND($C$7="Y",B145&lt;C$4),D144,AND(C$7="N",B145&lt;C$4, C$6=0),D144,AND($C$7="Y",B145=C$4),D144+F145-L145+N145-J145,AND($C$7="Y",B145&gt;C$4),(D144-J145)*(1-S145-U145), TRUE, (D144-J145)*(1-S145-U145))</f>
        <v>#DIV/0!</v>
      </c>
      <c r="E145" s="48">
        <f t="shared" si="51"/>
        <v>0</v>
      </c>
      <c r="F145" s="52">
        <f t="shared" si="59"/>
        <v>0</v>
      </c>
      <c r="G145" s="52">
        <f t="shared" si="61"/>
        <v>0</v>
      </c>
      <c r="H145" s="53" t="e">
        <f t="shared" si="52"/>
        <v>#DIV/0!</v>
      </c>
      <c r="I145" s="54" t="e">
        <f t="shared" si="48"/>
        <v>#DIV/0!</v>
      </c>
      <c r="J145" s="55" t="e">
        <f t="shared" si="47"/>
        <v>#DIV/0!</v>
      </c>
      <c r="K145" s="54" t="e" cm="1">
        <f t="array" ref="K145">_xlfn.IFS(AND($C$7="Y",B145=C$4),0,AND($C$7="N",B145=C$4),0,TRUE,((D144-D145)-L145+N145))</f>
        <v>#DIV/0!</v>
      </c>
      <c r="L145" s="51" t="e">
        <f t="shared" si="53"/>
        <v>#DIV/0!</v>
      </c>
      <c r="M145" s="51">
        <f t="shared" si="46"/>
        <v>0</v>
      </c>
      <c r="N145" s="51">
        <f t="shared" si="45"/>
        <v>0</v>
      </c>
      <c r="O145" s="48" t="e">
        <f t="shared" si="44"/>
        <v>#DIV/0!</v>
      </c>
      <c r="P145" s="37" t="e">
        <f t="shared" si="54"/>
        <v>#DIV/0!</v>
      </c>
      <c r="Q145" s="56"/>
      <c r="R145" s="56">
        <f t="shared" si="55"/>
        <v>0.12</v>
      </c>
      <c r="S145" s="56">
        <f t="shared" si="56"/>
        <v>1.0596241035318976E-2</v>
      </c>
      <c r="T145" s="56">
        <f t="shared" si="57"/>
        <v>8.0519338057870024E-2</v>
      </c>
      <c r="U145" s="56">
        <f t="shared" si="60"/>
        <v>6.9711104768118703E-3</v>
      </c>
      <c r="V145" s="37" t="e">
        <f t="shared" si="58"/>
        <v>#DIV/0!</v>
      </c>
    </row>
    <row r="146" spans="2:22" x14ac:dyDescent="0.2">
      <c r="B146" s="50">
        <f t="shared" si="49"/>
        <v>135</v>
      </c>
      <c r="C146" s="53" t="e">
        <f t="shared" si="50"/>
        <v>#DIV/0!</v>
      </c>
      <c r="D146" s="47" t="e" cm="1">
        <f t="array" ref="D146">_xlfn.IFS(AND($C$7="Y",B146&lt;C$4),D145,AND(C$7="N",B146&lt;C$4, C$6=0),D145,AND($C$7="Y",B146=C$4),D145+F146-L146+N146-J146,AND($C$7="Y",B146&gt;C$4),(D145-J146)*(1-S146-U146), TRUE, (D145-J146)*(1-S146-U146))</f>
        <v>#DIV/0!</v>
      </c>
      <c r="E146" s="48">
        <f t="shared" si="51"/>
        <v>0</v>
      </c>
      <c r="F146" s="52">
        <f t="shared" si="59"/>
        <v>0</v>
      </c>
      <c r="G146" s="52">
        <f t="shared" si="61"/>
        <v>0</v>
      </c>
      <c r="H146" s="53" t="e">
        <f t="shared" si="52"/>
        <v>#DIV/0!</v>
      </c>
      <c r="I146" s="54" t="e">
        <f t="shared" si="48"/>
        <v>#DIV/0!</v>
      </c>
      <c r="J146" s="55" t="e">
        <f t="shared" si="47"/>
        <v>#DIV/0!</v>
      </c>
      <c r="K146" s="54" t="e" cm="1">
        <f t="array" ref="K146">_xlfn.IFS(AND($C$7="Y",B146=C$4),0,AND($C$7="N",B146=C$4),0,TRUE,((D145-D146)-L146+N146))</f>
        <v>#DIV/0!</v>
      </c>
      <c r="L146" s="51" t="e">
        <f t="shared" si="53"/>
        <v>#DIV/0!</v>
      </c>
      <c r="M146" s="51">
        <f t="shared" si="46"/>
        <v>0</v>
      </c>
      <c r="N146" s="51">
        <f t="shared" si="45"/>
        <v>0</v>
      </c>
      <c r="O146" s="48" t="e">
        <f t="shared" si="44"/>
        <v>#DIV/0!</v>
      </c>
      <c r="P146" s="37" t="e">
        <f t="shared" si="54"/>
        <v>#DIV/0!</v>
      </c>
      <c r="Q146" s="56"/>
      <c r="R146" s="56">
        <f t="shared" si="55"/>
        <v>0.12</v>
      </c>
      <c r="S146" s="56">
        <f t="shared" si="56"/>
        <v>1.0596241035318976E-2</v>
      </c>
      <c r="T146" s="56">
        <f t="shared" si="57"/>
        <v>8.0519338057870024E-2</v>
      </c>
      <c r="U146" s="56">
        <f t="shared" si="60"/>
        <v>6.9711104768118703E-3</v>
      </c>
      <c r="V146" s="37" t="e">
        <f t="shared" si="58"/>
        <v>#DIV/0!</v>
      </c>
    </row>
    <row r="147" spans="2:22" x14ac:dyDescent="0.2">
      <c r="B147" s="50">
        <f t="shared" si="49"/>
        <v>136</v>
      </c>
      <c r="C147" s="53" t="e">
        <f t="shared" si="50"/>
        <v>#DIV/0!</v>
      </c>
      <c r="D147" s="47" t="e" cm="1">
        <f t="array" ref="D147">_xlfn.IFS(AND($C$7="Y",B147&lt;C$4),D146,AND(C$7="N",B147&lt;C$4, C$6=0),D146,AND($C$7="Y",B147=C$4),D146+F147-L147+N147-J147,AND($C$7="Y",B147&gt;C$4),(D146-J147)*(1-S147-U147), TRUE, (D146-J147)*(1-S147-U147))</f>
        <v>#DIV/0!</v>
      </c>
      <c r="E147" s="48">
        <f t="shared" si="51"/>
        <v>0</v>
      </c>
      <c r="F147" s="52">
        <f t="shared" si="59"/>
        <v>0</v>
      </c>
      <c r="G147" s="52">
        <f t="shared" si="61"/>
        <v>0</v>
      </c>
      <c r="H147" s="53" t="e">
        <f t="shared" si="52"/>
        <v>#DIV/0!</v>
      </c>
      <c r="I147" s="54" t="e">
        <f t="shared" si="48"/>
        <v>#DIV/0!</v>
      </c>
      <c r="J147" s="55" t="e">
        <f t="shared" si="47"/>
        <v>#DIV/0!</v>
      </c>
      <c r="K147" s="54" t="e" cm="1">
        <f t="array" ref="K147">_xlfn.IFS(AND($C$7="Y",B147=C$4),0,AND($C$7="N",B147=C$4),0,TRUE,((D146-D147)-L147+N147))</f>
        <v>#DIV/0!</v>
      </c>
      <c r="L147" s="51" t="e">
        <f t="shared" si="53"/>
        <v>#DIV/0!</v>
      </c>
      <c r="M147" s="51">
        <f t="shared" si="46"/>
        <v>0</v>
      </c>
      <c r="N147" s="51">
        <f t="shared" si="45"/>
        <v>0</v>
      </c>
      <c r="O147" s="48" t="e">
        <f t="shared" si="44"/>
        <v>#DIV/0!</v>
      </c>
      <c r="P147" s="37" t="e">
        <f t="shared" si="54"/>
        <v>#DIV/0!</v>
      </c>
      <c r="Q147" s="56"/>
      <c r="R147" s="56">
        <f t="shared" si="55"/>
        <v>0.12</v>
      </c>
      <c r="S147" s="56">
        <f t="shared" si="56"/>
        <v>1.0596241035318976E-2</v>
      </c>
      <c r="T147" s="56">
        <f t="shared" si="57"/>
        <v>8.0519338057870024E-2</v>
      </c>
      <c r="U147" s="56">
        <f t="shared" si="60"/>
        <v>6.9711104768118703E-3</v>
      </c>
      <c r="V147" s="37" t="e">
        <f t="shared" si="58"/>
        <v>#DIV/0!</v>
      </c>
    </row>
    <row r="148" spans="2:22" x14ac:dyDescent="0.2">
      <c r="B148" s="50">
        <f t="shared" si="49"/>
        <v>137</v>
      </c>
      <c r="C148" s="53" t="e">
        <f t="shared" si="50"/>
        <v>#DIV/0!</v>
      </c>
      <c r="D148" s="47" t="e" cm="1">
        <f t="array" ref="D148">_xlfn.IFS(AND($C$7="Y",B148&lt;C$4),D147,AND(C$7="N",B148&lt;C$4, C$6=0),D147,AND($C$7="Y",B148=C$4),D147+F148-L148+N148-J148,AND($C$7="Y",B148&gt;C$4),(D147-J148)*(1-S148-U148), TRUE, (D147-J148)*(1-S148-U148))</f>
        <v>#DIV/0!</v>
      </c>
      <c r="E148" s="48">
        <f t="shared" si="51"/>
        <v>0</v>
      </c>
      <c r="F148" s="52">
        <f t="shared" si="59"/>
        <v>0</v>
      </c>
      <c r="G148" s="52">
        <f t="shared" si="61"/>
        <v>0</v>
      </c>
      <c r="H148" s="53" t="e">
        <f t="shared" si="52"/>
        <v>#DIV/0!</v>
      </c>
      <c r="I148" s="54" t="e">
        <f t="shared" si="48"/>
        <v>#DIV/0!</v>
      </c>
      <c r="J148" s="55" t="e">
        <f t="shared" si="47"/>
        <v>#DIV/0!</v>
      </c>
      <c r="K148" s="54" t="e" cm="1">
        <f t="array" ref="K148">_xlfn.IFS(AND($C$7="Y",B148=C$4),0,AND($C$7="N",B148=C$4),0,TRUE,((D147-D148)-L148+N148))</f>
        <v>#DIV/0!</v>
      </c>
      <c r="L148" s="51" t="e">
        <f t="shared" si="53"/>
        <v>#DIV/0!</v>
      </c>
      <c r="M148" s="51">
        <f t="shared" si="46"/>
        <v>0</v>
      </c>
      <c r="N148" s="51">
        <f t="shared" si="45"/>
        <v>0</v>
      </c>
      <c r="O148" s="48" t="e">
        <f t="shared" si="44"/>
        <v>#DIV/0!</v>
      </c>
      <c r="P148" s="37" t="e">
        <f t="shared" si="54"/>
        <v>#DIV/0!</v>
      </c>
      <c r="Q148" s="56"/>
      <c r="R148" s="56">
        <f t="shared" si="55"/>
        <v>0.12</v>
      </c>
      <c r="S148" s="56">
        <f t="shared" si="56"/>
        <v>1.0596241035318976E-2</v>
      </c>
      <c r="T148" s="56">
        <f t="shared" si="57"/>
        <v>8.0519338057870024E-2</v>
      </c>
      <c r="U148" s="56">
        <f t="shared" si="60"/>
        <v>6.9711104768118703E-3</v>
      </c>
      <c r="V148" s="37" t="e">
        <f t="shared" si="58"/>
        <v>#DIV/0!</v>
      </c>
    </row>
    <row r="149" spans="2:22" x14ac:dyDescent="0.2">
      <c r="B149" s="50">
        <f t="shared" si="49"/>
        <v>138</v>
      </c>
      <c r="C149" s="53" t="e">
        <f t="shared" si="50"/>
        <v>#DIV/0!</v>
      </c>
      <c r="D149" s="47" t="e" cm="1">
        <f t="array" ref="D149">_xlfn.IFS(AND($C$7="Y",B149&lt;C$4),D148,AND(C$7="N",B149&lt;C$4, C$6=0),D148,AND($C$7="Y",B149=C$4),D148+F149-L149+N149-J149,AND($C$7="Y",B149&gt;C$4),(D148-J149)*(1-S149-U149), TRUE, (D148-J149)*(1-S149-U149))</f>
        <v>#DIV/0!</v>
      </c>
      <c r="E149" s="48">
        <f t="shared" si="51"/>
        <v>0</v>
      </c>
      <c r="F149" s="52">
        <f t="shared" si="59"/>
        <v>0</v>
      </c>
      <c r="G149" s="52">
        <f t="shared" si="61"/>
        <v>0</v>
      </c>
      <c r="H149" s="53" t="e">
        <f t="shared" si="52"/>
        <v>#DIV/0!</v>
      </c>
      <c r="I149" s="54" t="e">
        <f t="shared" si="48"/>
        <v>#DIV/0!</v>
      </c>
      <c r="J149" s="55" t="e">
        <f t="shared" si="47"/>
        <v>#DIV/0!</v>
      </c>
      <c r="K149" s="54" t="e" cm="1">
        <f t="array" ref="K149">_xlfn.IFS(AND($C$7="Y",B149=C$4),0,AND($C$7="N",B149=C$4),0,TRUE,((D148-D149)-L149+N149))</f>
        <v>#DIV/0!</v>
      </c>
      <c r="L149" s="51" t="e">
        <f t="shared" si="53"/>
        <v>#DIV/0!</v>
      </c>
      <c r="M149" s="51">
        <f t="shared" si="46"/>
        <v>0</v>
      </c>
      <c r="N149" s="51">
        <f t="shared" si="45"/>
        <v>0</v>
      </c>
      <c r="O149" s="48" t="e">
        <f t="shared" si="44"/>
        <v>#DIV/0!</v>
      </c>
      <c r="P149" s="37" t="e">
        <f t="shared" si="54"/>
        <v>#DIV/0!</v>
      </c>
      <c r="Q149" s="56"/>
      <c r="R149" s="56">
        <f t="shared" si="55"/>
        <v>0.12</v>
      </c>
      <c r="S149" s="56">
        <f t="shared" si="56"/>
        <v>1.0596241035318976E-2</v>
      </c>
      <c r="T149" s="56">
        <f t="shared" si="57"/>
        <v>8.0519338057870024E-2</v>
      </c>
      <c r="U149" s="56">
        <f t="shared" si="60"/>
        <v>6.9711104768118703E-3</v>
      </c>
      <c r="V149" s="37" t="e">
        <f t="shared" si="58"/>
        <v>#DIV/0!</v>
      </c>
    </row>
    <row r="150" spans="2:22" x14ac:dyDescent="0.2">
      <c r="B150" s="50">
        <f t="shared" si="49"/>
        <v>139</v>
      </c>
      <c r="C150" s="53" t="e">
        <f t="shared" si="50"/>
        <v>#DIV/0!</v>
      </c>
      <c r="D150" s="47" t="e" cm="1">
        <f t="array" ref="D150">_xlfn.IFS(AND($C$7="Y",B150&lt;C$4),D149,AND(C$7="N",B150&lt;C$4, C$6=0),D149,AND($C$7="Y",B150=C$4),D149+F150-L150+N150-J150,AND($C$7="Y",B150&gt;C$4),(D149-J150)*(1-S150-U150), TRUE, (D149-J150)*(1-S150-U150))</f>
        <v>#DIV/0!</v>
      </c>
      <c r="E150" s="48">
        <f t="shared" si="51"/>
        <v>0</v>
      </c>
      <c r="F150" s="52">
        <f t="shared" si="59"/>
        <v>0</v>
      </c>
      <c r="G150" s="52">
        <f t="shared" si="61"/>
        <v>0</v>
      </c>
      <c r="H150" s="53" t="e">
        <f t="shared" si="52"/>
        <v>#DIV/0!</v>
      </c>
      <c r="I150" s="54" t="e">
        <f t="shared" si="48"/>
        <v>#DIV/0!</v>
      </c>
      <c r="J150" s="55" t="e">
        <f t="shared" si="47"/>
        <v>#DIV/0!</v>
      </c>
      <c r="K150" s="54" t="e" cm="1">
        <f t="array" ref="K150">_xlfn.IFS(AND($C$7="Y",B150=C$4),0,AND($C$7="N",B150=C$4),0,TRUE,((D149-D150)-L150+N150))</f>
        <v>#DIV/0!</v>
      </c>
      <c r="L150" s="51" t="e">
        <f t="shared" si="53"/>
        <v>#DIV/0!</v>
      </c>
      <c r="M150" s="51">
        <f t="shared" si="46"/>
        <v>0</v>
      </c>
      <c r="N150" s="51">
        <f t="shared" si="45"/>
        <v>0</v>
      </c>
      <c r="O150" s="48" t="e">
        <f t="shared" si="44"/>
        <v>#DIV/0!</v>
      </c>
      <c r="P150" s="37" t="e">
        <f t="shared" si="54"/>
        <v>#DIV/0!</v>
      </c>
      <c r="Q150" s="56"/>
      <c r="R150" s="56">
        <f t="shared" si="55"/>
        <v>0.12</v>
      </c>
      <c r="S150" s="56">
        <f t="shared" si="56"/>
        <v>1.0596241035318976E-2</v>
      </c>
      <c r="T150" s="56">
        <f t="shared" si="57"/>
        <v>8.0519338057870024E-2</v>
      </c>
      <c r="U150" s="56">
        <f t="shared" si="60"/>
        <v>6.9711104768118703E-3</v>
      </c>
      <c r="V150" s="37" t="e">
        <f t="shared" si="58"/>
        <v>#DIV/0!</v>
      </c>
    </row>
    <row r="151" spans="2:22" x14ac:dyDescent="0.2">
      <c r="B151" s="50">
        <f t="shared" si="49"/>
        <v>140</v>
      </c>
      <c r="C151" s="53" t="e">
        <f t="shared" si="50"/>
        <v>#DIV/0!</v>
      </c>
      <c r="D151" s="47" t="e" cm="1">
        <f t="array" ref="D151">_xlfn.IFS(AND($C$7="Y",B151&lt;C$4),D150,AND(C$7="N",B151&lt;C$4, C$6=0),D150,AND($C$7="Y",B151=C$4),D150+F151-L151+N151-J151,AND($C$7="Y",B151&gt;C$4),(D150-J151)*(1-S151-U151), TRUE, (D150-J151)*(1-S151-U151))</f>
        <v>#DIV/0!</v>
      </c>
      <c r="E151" s="48">
        <f t="shared" si="51"/>
        <v>0</v>
      </c>
      <c r="F151" s="52">
        <f t="shared" si="59"/>
        <v>0</v>
      </c>
      <c r="G151" s="52">
        <f t="shared" si="61"/>
        <v>0</v>
      </c>
      <c r="H151" s="53" t="e">
        <f t="shared" si="52"/>
        <v>#DIV/0!</v>
      </c>
      <c r="I151" s="54" t="e">
        <f t="shared" si="48"/>
        <v>#DIV/0!</v>
      </c>
      <c r="J151" s="55" t="e">
        <f t="shared" si="47"/>
        <v>#DIV/0!</v>
      </c>
      <c r="K151" s="54" t="e" cm="1">
        <f t="array" ref="K151">_xlfn.IFS(AND($C$7="Y",B151=C$4),0,AND($C$7="N",B151=C$4),0,TRUE,((D150-D151)-L151+N151))</f>
        <v>#DIV/0!</v>
      </c>
      <c r="L151" s="51" t="e">
        <f t="shared" si="53"/>
        <v>#DIV/0!</v>
      </c>
      <c r="M151" s="51">
        <f t="shared" si="46"/>
        <v>0</v>
      </c>
      <c r="N151" s="51">
        <f t="shared" si="45"/>
        <v>0</v>
      </c>
      <c r="O151" s="48" t="e">
        <f t="shared" si="44"/>
        <v>#DIV/0!</v>
      </c>
      <c r="P151" s="37" t="e">
        <f t="shared" si="54"/>
        <v>#DIV/0!</v>
      </c>
      <c r="Q151" s="56"/>
      <c r="R151" s="56">
        <f t="shared" si="55"/>
        <v>0.12</v>
      </c>
      <c r="S151" s="56">
        <f t="shared" si="56"/>
        <v>1.0596241035318976E-2</v>
      </c>
      <c r="T151" s="56">
        <f t="shared" si="57"/>
        <v>8.0519338057870024E-2</v>
      </c>
      <c r="U151" s="56">
        <f t="shared" si="60"/>
        <v>6.9711104768118703E-3</v>
      </c>
      <c r="V151" s="37" t="e">
        <f t="shared" si="58"/>
        <v>#DIV/0!</v>
      </c>
    </row>
    <row r="152" spans="2:22" x14ac:dyDescent="0.2">
      <c r="B152" s="50">
        <f t="shared" si="49"/>
        <v>141</v>
      </c>
      <c r="C152" s="53" t="e">
        <f t="shared" si="50"/>
        <v>#DIV/0!</v>
      </c>
      <c r="D152" s="47" t="e" cm="1">
        <f t="array" ref="D152">_xlfn.IFS(AND($C$7="Y",B152&lt;C$4),D151,AND(C$7="N",B152&lt;C$4, C$6=0),D151,AND($C$7="Y",B152=C$4),D151+F152-L152+N152-J152,AND($C$7="Y",B152&gt;C$4),(D151-J152)*(1-S152-U152), TRUE, (D151-J152)*(1-S152-U152))</f>
        <v>#DIV/0!</v>
      </c>
      <c r="E152" s="48">
        <f t="shared" si="51"/>
        <v>0</v>
      </c>
      <c r="F152" s="52">
        <f t="shared" si="59"/>
        <v>0</v>
      </c>
      <c r="G152" s="52">
        <f t="shared" si="61"/>
        <v>0</v>
      </c>
      <c r="H152" s="53" t="e">
        <f t="shared" si="52"/>
        <v>#DIV/0!</v>
      </c>
      <c r="I152" s="54" t="e">
        <f t="shared" si="48"/>
        <v>#DIV/0!</v>
      </c>
      <c r="J152" s="55" t="e">
        <f t="shared" si="47"/>
        <v>#DIV/0!</v>
      </c>
      <c r="K152" s="54" t="e" cm="1">
        <f t="array" ref="K152">_xlfn.IFS(AND($C$7="Y",B152=C$4),0,AND($C$7="N",B152=C$4),0,TRUE,((D151-D152)-L152+N152))</f>
        <v>#DIV/0!</v>
      </c>
      <c r="L152" s="51" t="e">
        <f t="shared" si="53"/>
        <v>#DIV/0!</v>
      </c>
      <c r="M152" s="51">
        <f t="shared" si="46"/>
        <v>0</v>
      </c>
      <c r="N152" s="51">
        <f t="shared" si="45"/>
        <v>0</v>
      </c>
      <c r="O152" s="48" t="e">
        <f t="shared" si="44"/>
        <v>#DIV/0!</v>
      </c>
      <c r="P152" s="37" t="e">
        <f t="shared" si="54"/>
        <v>#DIV/0!</v>
      </c>
      <c r="Q152" s="56"/>
      <c r="R152" s="56">
        <f t="shared" si="55"/>
        <v>0.12</v>
      </c>
      <c r="S152" s="56">
        <f t="shared" si="56"/>
        <v>1.0596241035318976E-2</v>
      </c>
      <c r="T152" s="56">
        <f t="shared" si="57"/>
        <v>8.0519338057870024E-2</v>
      </c>
      <c r="U152" s="56">
        <f t="shared" si="60"/>
        <v>6.9711104768118703E-3</v>
      </c>
      <c r="V152" s="37" t="e">
        <f t="shared" si="58"/>
        <v>#DIV/0!</v>
      </c>
    </row>
    <row r="153" spans="2:22" x14ac:dyDescent="0.2">
      <c r="B153" s="50">
        <f t="shared" si="49"/>
        <v>142</v>
      </c>
      <c r="C153" s="53" t="e">
        <f t="shared" si="50"/>
        <v>#DIV/0!</v>
      </c>
      <c r="D153" s="47" t="e" cm="1">
        <f t="array" ref="D153">_xlfn.IFS(AND($C$7="Y",B153&lt;C$4),D152,AND(C$7="N",B153&lt;C$4, C$6=0),D152,AND($C$7="Y",B153=C$4),D152+F153-L153+N153-J153,AND($C$7="Y",B153&gt;C$4),(D152-J153)*(1-S153-U153), TRUE, (D152-J153)*(1-S153-U153))</f>
        <v>#DIV/0!</v>
      </c>
      <c r="E153" s="48">
        <f t="shared" si="51"/>
        <v>0</v>
      </c>
      <c r="F153" s="52">
        <f t="shared" si="59"/>
        <v>0</v>
      </c>
      <c r="G153" s="52">
        <f t="shared" si="61"/>
        <v>0</v>
      </c>
      <c r="H153" s="53" t="e">
        <f t="shared" si="52"/>
        <v>#DIV/0!</v>
      </c>
      <c r="I153" s="54" t="e">
        <f t="shared" si="48"/>
        <v>#DIV/0!</v>
      </c>
      <c r="J153" s="55" t="e">
        <f t="shared" si="47"/>
        <v>#DIV/0!</v>
      </c>
      <c r="K153" s="54" t="e" cm="1">
        <f t="array" ref="K153">_xlfn.IFS(AND($C$7="Y",B153=C$4),0,AND($C$7="N",B153=C$4),0,TRUE,((D152-D153)-L153+N153))</f>
        <v>#DIV/0!</v>
      </c>
      <c r="L153" s="51" t="e">
        <f t="shared" si="53"/>
        <v>#DIV/0!</v>
      </c>
      <c r="M153" s="51">
        <f t="shared" si="46"/>
        <v>0</v>
      </c>
      <c r="N153" s="51">
        <f t="shared" si="45"/>
        <v>0</v>
      </c>
      <c r="O153" s="48" t="e">
        <f t="shared" si="44"/>
        <v>#DIV/0!</v>
      </c>
      <c r="P153" s="37" t="e">
        <f t="shared" si="54"/>
        <v>#DIV/0!</v>
      </c>
      <c r="Q153" s="56"/>
      <c r="R153" s="56">
        <f t="shared" si="55"/>
        <v>0.12</v>
      </c>
      <c r="S153" s="56">
        <f t="shared" si="56"/>
        <v>1.0596241035318976E-2</v>
      </c>
      <c r="T153" s="56">
        <f t="shared" si="57"/>
        <v>8.0519338057870024E-2</v>
      </c>
      <c r="U153" s="56">
        <f t="shared" si="60"/>
        <v>6.9711104768118703E-3</v>
      </c>
      <c r="V153" s="37" t="e">
        <f t="shared" si="58"/>
        <v>#DIV/0!</v>
      </c>
    </row>
    <row r="154" spans="2:22" x14ac:dyDescent="0.2">
      <c r="B154" s="50">
        <f t="shared" si="49"/>
        <v>143</v>
      </c>
      <c r="C154" s="53" t="e">
        <f t="shared" si="50"/>
        <v>#DIV/0!</v>
      </c>
      <c r="D154" s="47" t="e" cm="1">
        <f t="array" ref="D154">_xlfn.IFS(AND($C$7="Y",B154&lt;C$4),D153,AND(C$7="N",B154&lt;C$4, C$6=0),D153,AND($C$7="Y",B154=C$4),D153+F154-L154+N154-J154,AND($C$7="Y",B154&gt;C$4),(D153-J154)*(1-S154-U154), TRUE, (D153-J154)*(1-S154-U154))</f>
        <v>#DIV/0!</v>
      </c>
      <c r="E154" s="48">
        <f t="shared" si="51"/>
        <v>0</v>
      </c>
      <c r="F154" s="52">
        <f t="shared" si="59"/>
        <v>0</v>
      </c>
      <c r="G154" s="52">
        <f t="shared" si="61"/>
        <v>0</v>
      </c>
      <c r="H154" s="53" t="e">
        <f t="shared" si="52"/>
        <v>#DIV/0!</v>
      </c>
      <c r="I154" s="54" t="e">
        <f t="shared" si="48"/>
        <v>#DIV/0!</v>
      </c>
      <c r="J154" s="55" t="e">
        <f t="shared" si="47"/>
        <v>#DIV/0!</v>
      </c>
      <c r="K154" s="54" t="e" cm="1">
        <f t="array" ref="K154">_xlfn.IFS(AND($C$7="Y",B154=C$4),0,AND($C$7="N",B154=C$4),0,TRUE,((D153-D154)-L154+N154))</f>
        <v>#DIV/0!</v>
      </c>
      <c r="L154" s="51" t="e">
        <f t="shared" si="53"/>
        <v>#DIV/0!</v>
      </c>
      <c r="M154" s="51">
        <f t="shared" si="46"/>
        <v>0</v>
      </c>
      <c r="N154" s="51">
        <f t="shared" si="45"/>
        <v>0</v>
      </c>
      <c r="O154" s="48" t="e">
        <f t="shared" si="44"/>
        <v>#DIV/0!</v>
      </c>
      <c r="P154" s="37" t="e">
        <f t="shared" si="54"/>
        <v>#DIV/0!</v>
      </c>
      <c r="Q154" s="56"/>
      <c r="R154" s="56">
        <f t="shared" si="55"/>
        <v>0.12</v>
      </c>
      <c r="S154" s="56">
        <f t="shared" si="56"/>
        <v>1.0596241035318976E-2</v>
      </c>
      <c r="T154" s="56">
        <f t="shared" si="57"/>
        <v>8.0519338057870024E-2</v>
      </c>
      <c r="U154" s="56">
        <f t="shared" si="60"/>
        <v>6.9711104768118703E-3</v>
      </c>
      <c r="V154" s="37" t="e">
        <f t="shared" si="58"/>
        <v>#DIV/0!</v>
      </c>
    </row>
    <row r="155" spans="2:22" x14ac:dyDescent="0.2">
      <c r="B155" s="50">
        <f t="shared" si="49"/>
        <v>144</v>
      </c>
      <c r="C155" s="53" t="e">
        <f t="shared" si="50"/>
        <v>#DIV/0!</v>
      </c>
      <c r="D155" s="47" t="e" cm="1">
        <f t="array" ref="D155">_xlfn.IFS(AND($C$7="Y",B155&lt;C$4),D154,AND(C$7="N",B155&lt;C$4, C$6=0),D154,AND($C$7="Y",B155=C$4),D154+F155-L155+N155-J155,AND($C$7="Y",B155&gt;C$4),(D154-J155)*(1-S155-U155), TRUE, (D154-J155)*(1-S155-U155))</f>
        <v>#DIV/0!</v>
      </c>
      <c r="E155" s="48">
        <f t="shared" si="51"/>
        <v>0</v>
      </c>
      <c r="F155" s="52">
        <f t="shared" si="59"/>
        <v>0</v>
      </c>
      <c r="G155" s="52">
        <f t="shared" si="61"/>
        <v>0</v>
      </c>
      <c r="H155" s="53" t="e">
        <f t="shared" si="52"/>
        <v>#DIV/0!</v>
      </c>
      <c r="I155" s="54" t="e">
        <f t="shared" si="48"/>
        <v>#DIV/0!</v>
      </c>
      <c r="J155" s="55" t="e">
        <f t="shared" si="47"/>
        <v>#DIV/0!</v>
      </c>
      <c r="K155" s="54" t="e" cm="1">
        <f t="array" ref="K155">_xlfn.IFS(AND($C$7="Y",B155=C$4),0,AND($C$7="N",B155=C$4),0,TRUE,((D154-D155)-L155+N155))</f>
        <v>#DIV/0!</v>
      </c>
      <c r="L155" s="51" t="e">
        <f t="shared" si="53"/>
        <v>#DIV/0!</v>
      </c>
      <c r="M155" s="51">
        <f t="shared" si="46"/>
        <v>0</v>
      </c>
      <c r="N155" s="51">
        <f t="shared" si="45"/>
        <v>0</v>
      </c>
      <c r="O155" s="48" t="e">
        <f t="shared" ref="O155:O218" si="62">K155+I155+G155</f>
        <v>#DIV/0!</v>
      </c>
      <c r="P155" s="37" t="e">
        <f t="shared" si="54"/>
        <v>#DIV/0!</v>
      </c>
      <c r="Q155" s="56"/>
      <c r="R155" s="56">
        <f t="shared" si="55"/>
        <v>0.12</v>
      </c>
      <c r="S155" s="56">
        <f t="shared" si="56"/>
        <v>1.0596241035318976E-2</v>
      </c>
      <c r="T155" s="56">
        <f t="shared" si="57"/>
        <v>8.0519338057870024E-2</v>
      </c>
      <c r="U155" s="56">
        <f t="shared" si="60"/>
        <v>6.9711104768118703E-3</v>
      </c>
      <c r="V155" s="37" t="e">
        <f t="shared" si="58"/>
        <v>#DIV/0!</v>
      </c>
    </row>
    <row r="156" spans="2:22" x14ac:dyDescent="0.2">
      <c r="B156" s="50">
        <f t="shared" si="49"/>
        <v>145</v>
      </c>
      <c r="C156" s="53" t="e">
        <f t="shared" si="50"/>
        <v>#DIV/0!</v>
      </c>
      <c r="D156" s="47" t="e" cm="1">
        <f t="array" ref="D156">_xlfn.IFS(AND($C$7="Y",B156&lt;C$4),D155,AND(C$7="N",B156&lt;C$4, C$6=0),D155,AND($C$7="Y",B156=C$4),D155+F156-L156+N156-J156,AND($C$7="Y",B156&gt;C$4),(D155-J156)*(1-S156-U156), TRUE, (D155-J156)*(1-S156-U156))</f>
        <v>#DIV/0!</v>
      </c>
      <c r="E156" s="48">
        <f t="shared" si="51"/>
        <v>0</v>
      </c>
      <c r="F156" s="52">
        <f t="shared" si="59"/>
        <v>0</v>
      </c>
      <c r="G156" s="52">
        <f t="shared" si="61"/>
        <v>0</v>
      </c>
      <c r="H156" s="53" t="e">
        <f t="shared" si="52"/>
        <v>#DIV/0!</v>
      </c>
      <c r="I156" s="54" t="e">
        <f t="shared" si="48"/>
        <v>#DIV/0!</v>
      </c>
      <c r="J156" s="55" t="e">
        <f t="shared" si="47"/>
        <v>#DIV/0!</v>
      </c>
      <c r="K156" s="54" t="e" cm="1">
        <f t="array" ref="K156">_xlfn.IFS(AND($C$7="Y",B156=C$4),0,AND($C$7="N",B156=C$4),0,TRUE,((D155-D156)-L156+N156))</f>
        <v>#DIV/0!</v>
      </c>
      <c r="L156" s="51" t="e">
        <f t="shared" si="53"/>
        <v>#DIV/0!</v>
      </c>
      <c r="M156" s="51">
        <f t="shared" si="46"/>
        <v>0</v>
      </c>
      <c r="N156" s="51">
        <f t="shared" si="45"/>
        <v>0</v>
      </c>
      <c r="O156" s="48" t="e">
        <f t="shared" si="62"/>
        <v>#DIV/0!</v>
      </c>
      <c r="P156" s="37" t="e">
        <f t="shared" si="54"/>
        <v>#DIV/0!</v>
      </c>
      <c r="Q156" s="56"/>
      <c r="R156" s="56">
        <f t="shared" si="55"/>
        <v>0.12</v>
      </c>
      <c r="S156" s="56">
        <f t="shared" si="56"/>
        <v>1.0596241035318976E-2</v>
      </c>
      <c r="T156" s="56">
        <f t="shared" si="57"/>
        <v>8.0519338057870024E-2</v>
      </c>
      <c r="U156" s="56">
        <f t="shared" si="60"/>
        <v>6.9711104768118703E-3</v>
      </c>
      <c r="V156" s="37" t="e">
        <f t="shared" si="58"/>
        <v>#DIV/0!</v>
      </c>
    </row>
    <row r="157" spans="2:22" x14ac:dyDescent="0.2">
      <c r="B157" s="50">
        <f t="shared" si="49"/>
        <v>146</v>
      </c>
      <c r="C157" s="53" t="e">
        <f t="shared" si="50"/>
        <v>#DIV/0!</v>
      </c>
      <c r="D157" s="47" t="e" cm="1">
        <f t="array" ref="D157">_xlfn.IFS(AND($C$7="Y",B157&lt;C$4),D156,AND(C$7="N",B157&lt;C$4, C$6=0),D156,AND($C$7="Y",B157=C$4),D156+F157-L157+N157-J157,AND($C$7="Y",B157&gt;C$4),(D156-J157)*(1-S157-U157), TRUE, (D156-J157)*(1-S157-U157))</f>
        <v>#DIV/0!</v>
      </c>
      <c r="E157" s="48">
        <f t="shared" si="51"/>
        <v>0</v>
      </c>
      <c r="F157" s="52">
        <f t="shared" si="59"/>
        <v>0</v>
      </c>
      <c r="G157" s="52">
        <f t="shared" si="61"/>
        <v>0</v>
      </c>
      <c r="H157" s="53" t="e">
        <f t="shared" si="52"/>
        <v>#DIV/0!</v>
      </c>
      <c r="I157" s="54" t="e">
        <f t="shared" si="48"/>
        <v>#DIV/0!</v>
      </c>
      <c r="J157" s="55" t="e">
        <f t="shared" si="47"/>
        <v>#DIV/0!</v>
      </c>
      <c r="K157" s="54" t="e" cm="1">
        <f t="array" ref="K157">_xlfn.IFS(AND($C$7="Y",B157=C$4),0,AND($C$7="N",B157=C$4),0,TRUE,((D156-D157)-L157+N157))</f>
        <v>#DIV/0!</v>
      </c>
      <c r="L157" s="51" t="e">
        <f t="shared" si="53"/>
        <v>#DIV/0!</v>
      </c>
      <c r="M157" s="51">
        <f t="shared" si="46"/>
        <v>0</v>
      </c>
      <c r="N157" s="51">
        <f t="shared" si="45"/>
        <v>0</v>
      </c>
      <c r="O157" s="48" t="e">
        <f t="shared" si="62"/>
        <v>#DIV/0!</v>
      </c>
      <c r="P157" s="37" t="e">
        <f t="shared" si="54"/>
        <v>#DIV/0!</v>
      </c>
      <c r="Q157" s="56"/>
      <c r="R157" s="56">
        <f t="shared" si="55"/>
        <v>0.12</v>
      </c>
      <c r="S157" s="56">
        <f t="shared" si="56"/>
        <v>1.0596241035318976E-2</v>
      </c>
      <c r="T157" s="56">
        <f t="shared" si="57"/>
        <v>8.0519338057870024E-2</v>
      </c>
      <c r="U157" s="56">
        <f t="shared" si="60"/>
        <v>6.9711104768118703E-3</v>
      </c>
      <c r="V157" s="37" t="e">
        <f t="shared" si="58"/>
        <v>#DIV/0!</v>
      </c>
    </row>
    <row r="158" spans="2:22" x14ac:dyDescent="0.2">
      <c r="B158" s="50">
        <f t="shared" si="49"/>
        <v>147</v>
      </c>
      <c r="C158" s="53" t="e">
        <f t="shared" si="50"/>
        <v>#DIV/0!</v>
      </c>
      <c r="D158" s="47" t="e" cm="1">
        <f t="array" ref="D158">_xlfn.IFS(AND($C$7="Y",B158&lt;C$4),D157,AND(C$7="N",B158&lt;C$4, C$6=0),D157,AND($C$7="Y",B158=C$4),D157+F158-L158+N158-J158,AND($C$7="Y",B158&gt;C$4),(D157-J158)*(1-S158-U158), TRUE, (D157-J158)*(1-S158-U158))</f>
        <v>#DIV/0!</v>
      </c>
      <c r="E158" s="48">
        <f t="shared" si="51"/>
        <v>0</v>
      </c>
      <c r="F158" s="52">
        <f t="shared" si="59"/>
        <v>0</v>
      </c>
      <c r="G158" s="52">
        <f t="shared" si="61"/>
        <v>0</v>
      </c>
      <c r="H158" s="53" t="e">
        <f t="shared" si="52"/>
        <v>#DIV/0!</v>
      </c>
      <c r="I158" s="54" t="e">
        <f t="shared" si="48"/>
        <v>#DIV/0!</v>
      </c>
      <c r="J158" s="55" t="e">
        <f t="shared" si="47"/>
        <v>#DIV/0!</v>
      </c>
      <c r="K158" s="54" t="e" cm="1">
        <f t="array" ref="K158">_xlfn.IFS(AND($C$7="Y",B158=C$4),0,AND($C$7="N",B158=C$4),0,TRUE,((D157-D158)-L158+N158))</f>
        <v>#DIV/0!</v>
      </c>
      <c r="L158" s="51" t="e">
        <f t="shared" si="53"/>
        <v>#DIV/0!</v>
      </c>
      <c r="M158" s="51">
        <f t="shared" si="46"/>
        <v>0</v>
      </c>
      <c r="N158" s="51">
        <f t="shared" si="45"/>
        <v>0</v>
      </c>
      <c r="O158" s="48" t="e">
        <f t="shared" si="62"/>
        <v>#DIV/0!</v>
      </c>
      <c r="P158" s="37" t="e">
        <f t="shared" si="54"/>
        <v>#DIV/0!</v>
      </c>
      <c r="Q158" s="56"/>
      <c r="R158" s="56">
        <f t="shared" si="55"/>
        <v>0.12</v>
      </c>
      <c r="S158" s="56">
        <f t="shared" si="56"/>
        <v>1.0596241035318976E-2</v>
      </c>
      <c r="T158" s="56">
        <f t="shared" si="57"/>
        <v>8.0519338057870024E-2</v>
      </c>
      <c r="U158" s="56">
        <f t="shared" si="60"/>
        <v>6.9711104768118703E-3</v>
      </c>
      <c r="V158" s="37" t="e">
        <f t="shared" si="58"/>
        <v>#DIV/0!</v>
      </c>
    </row>
    <row r="159" spans="2:22" x14ac:dyDescent="0.2">
      <c r="B159" s="50">
        <f t="shared" si="49"/>
        <v>148</v>
      </c>
      <c r="C159" s="53" t="e">
        <f t="shared" si="50"/>
        <v>#DIV/0!</v>
      </c>
      <c r="D159" s="47" t="e" cm="1">
        <f t="array" ref="D159">_xlfn.IFS(AND($C$7="Y",B159&lt;C$4),D158,AND(C$7="N",B159&lt;C$4, C$6=0),D158,AND($C$7="Y",B159=C$4),D158+F159-L159+N159-J159,AND($C$7="Y",B159&gt;C$4),(D158-J159)*(1-S159-U159), TRUE, (D158-J159)*(1-S159-U159))</f>
        <v>#DIV/0!</v>
      </c>
      <c r="E159" s="48">
        <f t="shared" si="51"/>
        <v>0</v>
      </c>
      <c r="F159" s="52">
        <f t="shared" si="59"/>
        <v>0</v>
      </c>
      <c r="G159" s="52">
        <f t="shared" si="61"/>
        <v>0</v>
      </c>
      <c r="H159" s="53" t="e">
        <f t="shared" si="52"/>
        <v>#DIV/0!</v>
      </c>
      <c r="I159" s="54" t="e">
        <f t="shared" si="48"/>
        <v>#DIV/0!</v>
      </c>
      <c r="J159" s="55" t="e">
        <f t="shared" si="47"/>
        <v>#DIV/0!</v>
      </c>
      <c r="K159" s="54" t="e" cm="1">
        <f t="array" ref="K159">_xlfn.IFS(AND($C$7="Y",B159=C$4),0,AND($C$7="N",B159=C$4),0,TRUE,((D158-D159)-L159+N159))</f>
        <v>#DIV/0!</v>
      </c>
      <c r="L159" s="51" t="e">
        <f t="shared" si="53"/>
        <v>#DIV/0!</v>
      </c>
      <c r="M159" s="51">
        <f t="shared" si="46"/>
        <v>0</v>
      </c>
      <c r="N159" s="51">
        <f t="shared" si="45"/>
        <v>0</v>
      </c>
      <c r="O159" s="48" t="e">
        <f t="shared" si="62"/>
        <v>#DIV/0!</v>
      </c>
      <c r="P159" s="37" t="e">
        <f t="shared" si="54"/>
        <v>#DIV/0!</v>
      </c>
      <c r="Q159" s="56"/>
      <c r="R159" s="56">
        <f t="shared" si="55"/>
        <v>0.12</v>
      </c>
      <c r="S159" s="56">
        <f t="shared" si="56"/>
        <v>1.0596241035318976E-2</v>
      </c>
      <c r="T159" s="56">
        <f t="shared" si="57"/>
        <v>8.0519338057870024E-2</v>
      </c>
      <c r="U159" s="56">
        <f t="shared" si="60"/>
        <v>6.9711104768118703E-3</v>
      </c>
      <c r="V159" s="37" t="e">
        <f t="shared" si="58"/>
        <v>#DIV/0!</v>
      </c>
    </row>
    <row r="160" spans="2:22" x14ac:dyDescent="0.2">
      <c r="B160" s="50">
        <f t="shared" si="49"/>
        <v>149</v>
      </c>
      <c r="C160" s="53" t="e">
        <f t="shared" si="50"/>
        <v>#DIV/0!</v>
      </c>
      <c r="D160" s="47" t="e" cm="1">
        <f t="array" ref="D160">_xlfn.IFS(AND($C$7="Y",B160&lt;C$4),D159,AND(C$7="N",B160&lt;C$4, C$6=0),D159,AND($C$7="Y",B160=C$4),D159+F160-L160+N160-J160,AND($C$7="Y",B160&gt;C$4),(D159-J160)*(1-S160-U160), TRUE, (D159-J160)*(1-S160-U160))</f>
        <v>#DIV/0!</v>
      </c>
      <c r="E160" s="48">
        <f t="shared" si="51"/>
        <v>0</v>
      </c>
      <c r="F160" s="52">
        <f t="shared" si="59"/>
        <v>0</v>
      </c>
      <c r="G160" s="52">
        <f t="shared" si="61"/>
        <v>0</v>
      </c>
      <c r="H160" s="53" t="e">
        <f t="shared" si="52"/>
        <v>#DIV/0!</v>
      </c>
      <c r="I160" s="54" t="e">
        <f t="shared" si="48"/>
        <v>#DIV/0!</v>
      </c>
      <c r="J160" s="55" t="e">
        <f t="shared" si="47"/>
        <v>#DIV/0!</v>
      </c>
      <c r="K160" s="54" t="e" cm="1">
        <f t="array" ref="K160">_xlfn.IFS(AND($C$7="Y",B160=C$4),0,AND($C$7="N",B160=C$4),0,TRUE,((D159-D160)-L160+N160))</f>
        <v>#DIV/0!</v>
      </c>
      <c r="L160" s="51" t="e">
        <f t="shared" si="53"/>
        <v>#DIV/0!</v>
      </c>
      <c r="M160" s="51">
        <f t="shared" si="46"/>
        <v>0</v>
      </c>
      <c r="N160" s="51">
        <f t="shared" ref="N160:N223" si="63">IFERROR((1-$N$9)*L156,0)</f>
        <v>0</v>
      </c>
      <c r="O160" s="48" t="e">
        <f t="shared" si="62"/>
        <v>#DIV/0!</v>
      </c>
      <c r="P160" s="37" t="e">
        <f t="shared" si="54"/>
        <v>#DIV/0!</v>
      </c>
      <c r="Q160" s="56"/>
      <c r="R160" s="56">
        <f t="shared" si="55"/>
        <v>0.12</v>
      </c>
      <c r="S160" s="56">
        <f t="shared" si="56"/>
        <v>1.0596241035318976E-2</v>
      </c>
      <c r="T160" s="56">
        <f t="shared" si="57"/>
        <v>8.0519338057870024E-2</v>
      </c>
      <c r="U160" s="56">
        <f t="shared" si="60"/>
        <v>6.9711104768118703E-3</v>
      </c>
      <c r="V160" s="37" t="e">
        <f t="shared" si="58"/>
        <v>#DIV/0!</v>
      </c>
    </row>
    <row r="161" spans="2:22" x14ac:dyDescent="0.2">
      <c r="B161" s="50">
        <f t="shared" si="49"/>
        <v>150</v>
      </c>
      <c r="C161" s="53" t="e">
        <f t="shared" si="50"/>
        <v>#DIV/0!</v>
      </c>
      <c r="D161" s="47" t="e" cm="1">
        <f t="array" ref="D161">_xlfn.IFS(AND($C$7="Y",B161&lt;C$4),D160,AND(C$7="N",B161&lt;C$4, C$6=0),D160,AND($C$7="Y",B161=C$4),D160+F161-L161+N161-J161,AND($C$7="Y",B161&gt;C$4),(D160-J161)*(1-S161-U161), TRUE, (D160-J161)*(1-S161-U161))</f>
        <v>#DIV/0!</v>
      </c>
      <c r="E161" s="48">
        <f t="shared" si="51"/>
        <v>0</v>
      </c>
      <c r="F161" s="52">
        <f t="shared" si="59"/>
        <v>0</v>
      </c>
      <c r="G161" s="52">
        <f t="shared" si="61"/>
        <v>0</v>
      </c>
      <c r="H161" s="53" t="e">
        <f t="shared" si="52"/>
        <v>#DIV/0!</v>
      </c>
      <c r="I161" s="54" t="e">
        <f t="shared" si="48"/>
        <v>#DIV/0!</v>
      </c>
      <c r="J161" s="55" t="e">
        <f t="shared" si="47"/>
        <v>#DIV/0!</v>
      </c>
      <c r="K161" s="54" t="e" cm="1">
        <f t="array" ref="K161">_xlfn.IFS(AND($C$7="Y",B161=C$4),0,AND($C$7="N",B161=C$4),0,TRUE,((D160-D161)-L161+N161))</f>
        <v>#DIV/0!</v>
      </c>
      <c r="L161" s="51" t="e">
        <f t="shared" si="53"/>
        <v>#DIV/0!</v>
      </c>
      <c r="M161" s="51">
        <f t="shared" si="46"/>
        <v>0</v>
      </c>
      <c r="N161" s="51">
        <f t="shared" si="63"/>
        <v>0</v>
      </c>
      <c r="O161" s="48" t="e">
        <f t="shared" si="62"/>
        <v>#DIV/0!</v>
      </c>
      <c r="P161" s="37" t="e">
        <f t="shared" si="54"/>
        <v>#DIV/0!</v>
      </c>
      <c r="Q161" s="56"/>
      <c r="R161" s="56">
        <f t="shared" si="55"/>
        <v>0.12</v>
      </c>
      <c r="S161" s="56">
        <f t="shared" si="56"/>
        <v>1.0596241035318976E-2</v>
      </c>
      <c r="T161" s="56">
        <f t="shared" si="57"/>
        <v>8.0519338057870024E-2</v>
      </c>
      <c r="U161" s="56">
        <f t="shared" si="60"/>
        <v>6.9711104768118703E-3</v>
      </c>
      <c r="V161" s="37" t="e">
        <f t="shared" si="58"/>
        <v>#DIV/0!</v>
      </c>
    </row>
    <row r="162" spans="2:22" x14ac:dyDescent="0.2">
      <c r="B162" s="50">
        <f t="shared" si="49"/>
        <v>151</v>
      </c>
      <c r="C162" s="53" t="e">
        <f t="shared" si="50"/>
        <v>#DIV/0!</v>
      </c>
      <c r="D162" s="47" t="e" cm="1">
        <f t="array" ref="D162">_xlfn.IFS(AND($C$7="Y",B162&lt;C$4),D161,AND(C$7="N",B162&lt;C$4, C$6=0),D161,AND($C$7="Y",B162=C$4),D161+F162-L162+N162-J162,AND($C$7="Y",B162&gt;C$4),(D161-J162)*(1-S162-U162), TRUE, (D161-J162)*(1-S162-U162))</f>
        <v>#DIV/0!</v>
      </c>
      <c r="E162" s="48">
        <f t="shared" si="51"/>
        <v>0</v>
      </c>
      <c r="F162" s="52">
        <f t="shared" si="59"/>
        <v>0</v>
      </c>
      <c r="G162" s="52">
        <f t="shared" si="61"/>
        <v>0</v>
      </c>
      <c r="H162" s="53" t="e">
        <f t="shared" si="52"/>
        <v>#DIV/0!</v>
      </c>
      <c r="I162" s="54" t="e">
        <f t="shared" si="48"/>
        <v>#DIV/0!</v>
      </c>
      <c r="J162" s="55" t="e">
        <f t="shared" si="47"/>
        <v>#DIV/0!</v>
      </c>
      <c r="K162" s="54" t="e" cm="1">
        <f t="array" ref="K162">_xlfn.IFS(AND($C$7="Y",B162=C$4),0,AND($C$7="N",B162=C$4),0,TRUE,((D161-D162)-L162+N162))</f>
        <v>#DIV/0!</v>
      </c>
      <c r="L162" s="51" t="e">
        <f t="shared" si="53"/>
        <v>#DIV/0!</v>
      </c>
      <c r="M162" s="51">
        <f t="shared" si="46"/>
        <v>0</v>
      </c>
      <c r="N162" s="51">
        <f t="shared" si="63"/>
        <v>0</v>
      </c>
      <c r="O162" s="48" t="e">
        <f t="shared" si="62"/>
        <v>#DIV/0!</v>
      </c>
      <c r="P162" s="37" t="e">
        <f t="shared" si="54"/>
        <v>#DIV/0!</v>
      </c>
      <c r="Q162" s="56"/>
      <c r="R162" s="56">
        <f t="shared" si="55"/>
        <v>0.12</v>
      </c>
      <c r="S162" s="56">
        <f t="shared" si="56"/>
        <v>1.0596241035318976E-2</v>
      </c>
      <c r="T162" s="56">
        <f t="shared" si="57"/>
        <v>8.0519338057870024E-2</v>
      </c>
      <c r="U162" s="56">
        <f t="shared" si="60"/>
        <v>6.9711104768118703E-3</v>
      </c>
      <c r="V162" s="37" t="e">
        <f t="shared" si="58"/>
        <v>#DIV/0!</v>
      </c>
    </row>
    <row r="163" spans="2:22" x14ac:dyDescent="0.2">
      <c r="B163" s="50">
        <f t="shared" si="49"/>
        <v>152</v>
      </c>
      <c r="C163" s="53" t="e">
        <f t="shared" si="50"/>
        <v>#DIV/0!</v>
      </c>
      <c r="D163" s="47" t="e" cm="1">
        <f t="array" ref="D163">_xlfn.IFS(AND($C$7="Y",B163&lt;C$4),D162,AND(C$7="N",B163&lt;C$4, C$6=0),D162,AND($C$7="Y",B163=C$4),D162+F163-L163+N163-J163,AND($C$7="Y",B163&gt;C$4),(D162-J163)*(1-S163-U163), TRUE, (D162-J163)*(1-S163-U163))</f>
        <v>#DIV/0!</v>
      </c>
      <c r="E163" s="48">
        <f t="shared" si="51"/>
        <v>0</v>
      </c>
      <c r="F163" s="52">
        <f t="shared" si="59"/>
        <v>0</v>
      </c>
      <c r="G163" s="52">
        <f t="shared" si="61"/>
        <v>0</v>
      </c>
      <c r="H163" s="53" t="e">
        <f t="shared" si="52"/>
        <v>#DIV/0!</v>
      </c>
      <c r="I163" s="54" t="e">
        <f t="shared" si="48"/>
        <v>#DIV/0!</v>
      </c>
      <c r="J163" s="55" t="e">
        <f t="shared" si="47"/>
        <v>#DIV/0!</v>
      </c>
      <c r="K163" s="54" t="e" cm="1">
        <f t="array" ref="K163">_xlfn.IFS(AND($C$7="Y",B163=C$4),0,AND($C$7="N",B163=C$4),0,TRUE,((D162-D163)-L163+N163))</f>
        <v>#DIV/0!</v>
      </c>
      <c r="L163" s="51" t="e">
        <f t="shared" si="53"/>
        <v>#DIV/0!</v>
      </c>
      <c r="M163" s="51">
        <f t="shared" si="46"/>
        <v>0</v>
      </c>
      <c r="N163" s="51">
        <f t="shared" si="63"/>
        <v>0</v>
      </c>
      <c r="O163" s="48" t="e">
        <f t="shared" si="62"/>
        <v>#DIV/0!</v>
      </c>
      <c r="P163" s="37" t="e">
        <f t="shared" si="54"/>
        <v>#DIV/0!</v>
      </c>
      <c r="Q163" s="56"/>
      <c r="R163" s="56">
        <f t="shared" si="55"/>
        <v>0.12</v>
      </c>
      <c r="S163" s="56">
        <f t="shared" si="56"/>
        <v>1.0596241035318976E-2</v>
      </c>
      <c r="T163" s="56">
        <f t="shared" si="57"/>
        <v>8.0519338057870024E-2</v>
      </c>
      <c r="U163" s="56">
        <f t="shared" si="60"/>
        <v>6.9711104768118703E-3</v>
      </c>
      <c r="V163" s="37" t="e">
        <f t="shared" si="58"/>
        <v>#DIV/0!</v>
      </c>
    </row>
    <row r="164" spans="2:22" x14ac:dyDescent="0.2">
      <c r="B164" s="50">
        <f t="shared" si="49"/>
        <v>153</v>
      </c>
      <c r="C164" s="53" t="e">
        <f t="shared" si="50"/>
        <v>#DIV/0!</v>
      </c>
      <c r="D164" s="47" t="e" cm="1">
        <f t="array" ref="D164">_xlfn.IFS(AND($C$7="Y",B164&lt;C$4),D163,AND(C$7="N",B164&lt;C$4, C$6=0),D163,AND($C$7="Y",B164=C$4),D163+F164-L164+N164-J164,AND($C$7="Y",B164&gt;C$4),(D163-J164)*(1-S164-U164), TRUE, (D163-J164)*(1-S164-U164))</f>
        <v>#DIV/0!</v>
      </c>
      <c r="E164" s="48">
        <f t="shared" si="51"/>
        <v>0</v>
      </c>
      <c r="F164" s="52">
        <f t="shared" si="59"/>
        <v>0</v>
      </c>
      <c r="G164" s="52">
        <f t="shared" si="61"/>
        <v>0</v>
      </c>
      <c r="H164" s="53" t="e">
        <f t="shared" si="52"/>
        <v>#DIV/0!</v>
      </c>
      <c r="I164" s="54" t="e">
        <f t="shared" si="48"/>
        <v>#DIV/0!</v>
      </c>
      <c r="J164" s="55" t="e">
        <f t="shared" si="47"/>
        <v>#DIV/0!</v>
      </c>
      <c r="K164" s="54" t="e" cm="1">
        <f t="array" ref="K164">_xlfn.IFS(AND($C$7="Y",B164=C$4),0,AND($C$7="N",B164=C$4),0,TRUE,((D163-D164)-L164+N164))</f>
        <v>#DIV/0!</v>
      </c>
      <c r="L164" s="51" t="e">
        <f t="shared" si="53"/>
        <v>#DIV/0!</v>
      </c>
      <c r="M164" s="51">
        <f t="shared" si="46"/>
        <v>0</v>
      </c>
      <c r="N164" s="51">
        <f t="shared" si="63"/>
        <v>0</v>
      </c>
      <c r="O164" s="48" t="e">
        <f t="shared" si="62"/>
        <v>#DIV/0!</v>
      </c>
      <c r="P164" s="37" t="e">
        <f t="shared" si="54"/>
        <v>#DIV/0!</v>
      </c>
      <c r="Q164" s="56"/>
      <c r="R164" s="56">
        <f t="shared" si="55"/>
        <v>0.12</v>
      </c>
      <c r="S164" s="56">
        <f t="shared" si="56"/>
        <v>1.0596241035318976E-2</v>
      </c>
      <c r="T164" s="56">
        <f t="shared" si="57"/>
        <v>8.0519338057870024E-2</v>
      </c>
      <c r="U164" s="56">
        <f t="shared" si="60"/>
        <v>6.9711104768118703E-3</v>
      </c>
      <c r="V164" s="37" t="e">
        <f t="shared" si="58"/>
        <v>#DIV/0!</v>
      </c>
    </row>
    <row r="165" spans="2:22" x14ac:dyDescent="0.2">
      <c r="B165" s="50">
        <f t="shared" si="49"/>
        <v>154</v>
      </c>
      <c r="C165" s="53" t="e">
        <f t="shared" si="50"/>
        <v>#DIV/0!</v>
      </c>
      <c r="D165" s="47" t="e" cm="1">
        <f t="array" ref="D165">_xlfn.IFS(AND($C$7="Y",B165&lt;C$4),D164,AND(C$7="N",B165&lt;C$4, C$6=0),D164,AND($C$7="Y",B165=C$4),D164+F165-L165+N165-J165,AND($C$7="Y",B165&gt;C$4),(D164-J165)*(1-S165-U165), TRUE, (D164-J165)*(1-S165-U165))</f>
        <v>#DIV/0!</v>
      </c>
      <c r="E165" s="48">
        <f t="shared" si="51"/>
        <v>0</v>
      </c>
      <c r="F165" s="52">
        <f t="shared" si="59"/>
        <v>0</v>
      </c>
      <c r="G165" s="52">
        <f t="shared" si="61"/>
        <v>0</v>
      </c>
      <c r="H165" s="53" t="e">
        <f t="shared" si="52"/>
        <v>#DIV/0!</v>
      </c>
      <c r="I165" s="54" t="e">
        <f t="shared" si="48"/>
        <v>#DIV/0!</v>
      </c>
      <c r="J165" s="55" t="e">
        <f t="shared" si="47"/>
        <v>#DIV/0!</v>
      </c>
      <c r="K165" s="54" t="e" cm="1">
        <f t="array" ref="K165">_xlfn.IFS(AND($C$7="Y",B165=C$4),0,AND($C$7="N",B165=C$4),0,TRUE,((D164-D165)-L165+N165))</f>
        <v>#DIV/0!</v>
      </c>
      <c r="L165" s="51" t="e">
        <f t="shared" si="53"/>
        <v>#DIV/0!</v>
      </c>
      <c r="M165" s="51">
        <f t="shared" si="46"/>
        <v>0</v>
      </c>
      <c r="N165" s="51">
        <f t="shared" si="63"/>
        <v>0</v>
      </c>
      <c r="O165" s="48" t="e">
        <f t="shared" si="62"/>
        <v>#DIV/0!</v>
      </c>
      <c r="P165" s="37" t="e">
        <f t="shared" si="54"/>
        <v>#DIV/0!</v>
      </c>
      <c r="Q165" s="56"/>
      <c r="R165" s="56">
        <f t="shared" si="55"/>
        <v>0.12</v>
      </c>
      <c r="S165" s="56">
        <f t="shared" si="56"/>
        <v>1.0596241035318976E-2</v>
      </c>
      <c r="T165" s="56">
        <f t="shared" si="57"/>
        <v>8.0519338057870024E-2</v>
      </c>
      <c r="U165" s="56">
        <f t="shared" si="60"/>
        <v>6.9711104768118703E-3</v>
      </c>
      <c r="V165" s="37" t="e">
        <f t="shared" si="58"/>
        <v>#DIV/0!</v>
      </c>
    </row>
    <row r="166" spans="2:22" x14ac:dyDescent="0.2">
      <c r="B166" s="50">
        <f t="shared" si="49"/>
        <v>155</v>
      </c>
      <c r="C166" s="53" t="e">
        <f t="shared" si="50"/>
        <v>#DIV/0!</v>
      </c>
      <c r="D166" s="47" t="e" cm="1">
        <f t="array" ref="D166">_xlfn.IFS(AND($C$7="Y",B166&lt;C$4),D165,AND(C$7="N",B166&lt;C$4, C$6=0),D165,AND($C$7="Y",B166=C$4),D165+F166-L166+N166-J166,AND($C$7="Y",B166&gt;C$4),(D165-J166)*(1-S166-U166), TRUE, (D165-J166)*(1-S166-U166))</f>
        <v>#DIV/0!</v>
      </c>
      <c r="E166" s="48">
        <f t="shared" si="51"/>
        <v>0</v>
      </c>
      <c r="F166" s="52">
        <f t="shared" si="59"/>
        <v>0</v>
      </c>
      <c r="G166" s="52">
        <f t="shared" si="61"/>
        <v>0</v>
      </c>
      <c r="H166" s="53" t="e">
        <f t="shared" si="52"/>
        <v>#DIV/0!</v>
      </c>
      <c r="I166" s="54" t="e">
        <f t="shared" si="48"/>
        <v>#DIV/0!</v>
      </c>
      <c r="J166" s="55" t="e">
        <f t="shared" si="47"/>
        <v>#DIV/0!</v>
      </c>
      <c r="K166" s="54" t="e" cm="1">
        <f t="array" ref="K166">_xlfn.IFS(AND($C$7="Y",B166=C$4),0,AND($C$7="N",B166=C$4),0,TRUE,((D165-D166)-L166+N166))</f>
        <v>#DIV/0!</v>
      </c>
      <c r="L166" s="51" t="e">
        <f t="shared" si="53"/>
        <v>#DIV/0!</v>
      </c>
      <c r="M166" s="51">
        <f t="shared" si="46"/>
        <v>0</v>
      </c>
      <c r="N166" s="51">
        <f t="shared" si="63"/>
        <v>0</v>
      </c>
      <c r="O166" s="48" t="e">
        <f t="shared" si="62"/>
        <v>#DIV/0!</v>
      </c>
      <c r="P166" s="37" t="e">
        <f t="shared" si="54"/>
        <v>#DIV/0!</v>
      </c>
      <c r="Q166" s="56"/>
      <c r="R166" s="56">
        <f t="shared" si="55"/>
        <v>0.12</v>
      </c>
      <c r="S166" s="56">
        <f t="shared" si="56"/>
        <v>1.0596241035318976E-2</v>
      </c>
      <c r="T166" s="56">
        <f t="shared" si="57"/>
        <v>8.0519338057870024E-2</v>
      </c>
      <c r="U166" s="56">
        <f t="shared" si="60"/>
        <v>6.9711104768118703E-3</v>
      </c>
      <c r="V166" s="37" t="e">
        <f t="shared" si="58"/>
        <v>#DIV/0!</v>
      </c>
    </row>
    <row r="167" spans="2:22" x14ac:dyDescent="0.2">
      <c r="B167" s="50">
        <f t="shared" si="49"/>
        <v>156</v>
      </c>
      <c r="C167" s="53" t="e">
        <f t="shared" si="50"/>
        <v>#DIV/0!</v>
      </c>
      <c r="D167" s="47" t="e" cm="1">
        <f t="array" ref="D167">_xlfn.IFS(AND($C$7="Y",B167&lt;C$4),D166,AND(C$7="N",B167&lt;C$4, C$6=0),D166,AND($C$7="Y",B167=C$4),D166+F167-L167+N167-J167,AND($C$7="Y",B167&gt;C$4),(D166-J167)*(1-S167-U167), TRUE, (D166-J167)*(1-S167-U167))</f>
        <v>#DIV/0!</v>
      </c>
      <c r="E167" s="48">
        <f t="shared" si="51"/>
        <v>0</v>
      </c>
      <c r="F167" s="52">
        <f t="shared" si="59"/>
        <v>0</v>
      </c>
      <c r="G167" s="52">
        <f t="shared" si="61"/>
        <v>0</v>
      </c>
      <c r="H167" s="53" t="e">
        <f t="shared" si="52"/>
        <v>#DIV/0!</v>
      </c>
      <c r="I167" s="54" t="e">
        <f t="shared" si="48"/>
        <v>#DIV/0!</v>
      </c>
      <c r="J167" s="55" t="e">
        <f t="shared" si="47"/>
        <v>#DIV/0!</v>
      </c>
      <c r="K167" s="54" t="e" cm="1">
        <f t="array" ref="K167">_xlfn.IFS(AND($C$7="Y",B167=C$4),0,AND($C$7="N",B167=C$4),0,TRUE,((D166-D167)-L167+N167))</f>
        <v>#DIV/0!</v>
      </c>
      <c r="L167" s="51" t="e">
        <f t="shared" si="53"/>
        <v>#DIV/0!</v>
      </c>
      <c r="M167" s="51">
        <f t="shared" si="46"/>
        <v>0</v>
      </c>
      <c r="N167" s="51">
        <f t="shared" si="63"/>
        <v>0</v>
      </c>
      <c r="O167" s="48" t="e">
        <f t="shared" si="62"/>
        <v>#DIV/0!</v>
      </c>
      <c r="P167" s="37" t="e">
        <f t="shared" si="54"/>
        <v>#DIV/0!</v>
      </c>
      <c r="Q167" s="56"/>
      <c r="R167" s="56">
        <f t="shared" si="55"/>
        <v>0.12</v>
      </c>
      <c r="S167" s="56">
        <f t="shared" si="56"/>
        <v>1.0596241035318976E-2</v>
      </c>
      <c r="T167" s="56">
        <f t="shared" si="57"/>
        <v>8.0519338057870024E-2</v>
      </c>
      <c r="U167" s="56">
        <f t="shared" si="60"/>
        <v>6.9711104768118703E-3</v>
      </c>
      <c r="V167" s="37" t="e">
        <f t="shared" si="58"/>
        <v>#DIV/0!</v>
      </c>
    </row>
    <row r="168" spans="2:22" x14ac:dyDescent="0.2">
      <c r="B168" s="50">
        <f t="shared" si="49"/>
        <v>157</v>
      </c>
      <c r="C168" s="53" t="e">
        <f t="shared" si="50"/>
        <v>#DIV/0!</v>
      </c>
      <c r="D168" s="47" t="e" cm="1">
        <f t="array" ref="D168">_xlfn.IFS(AND($C$7="Y",B168&lt;C$4),D167,AND(C$7="N",B168&lt;C$4, C$6=0),D167,AND($C$7="Y",B168=C$4),D167+F168-L168+N168-J168,AND($C$7="Y",B168&gt;C$4),(D167-J168)*(1-S168-U168), TRUE, (D167-J168)*(1-S168-U168))</f>
        <v>#DIV/0!</v>
      </c>
      <c r="E168" s="48">
        <f t="shared" si="51"/>
        <v>0</v>
      </c>
      <c r="F168" s="52">
        <f t="shared" si="59"/>
        <v>0</v>
      </c>
      <c r="G168" s="52">
        <f t="shared" si="61"/>
        <v>0</v>
      </c>
      <c r="H168" s="53" t="e">
        <f t="shared" si="52"/>
        <v>#DIV/0!</v>
      </c>
      <c r="I168" s="54" t="e">
        <f t="shared" si="48"/>
        <v>#DIV/0!</v>
      </c>
      <c r="J168" s="55" t="e">
        <f t="shared" si="47"/>
        <v>#DIV/0!</v>
      </c>
      <c r="K168" s="54" t="e" cm="1">
        <f t="array" ref="K168">_xlfn.IFS(AND($C$7="Y",B168=C$4),0,AND($C$7="N",B168=C$4),0,TRUE,((D167-D168)-L168+N168))</f>
        <v>#DIV/0!</v>
      </c>
      <c r="L168" s="51" t="e">
        <f t="shared" si="53"/>
        <v>#DIV/0!</v>
      </c>
      <c r="M168" s="51">
        <f t="shared" si="46"/>
        <v>0</v>
      </c>
      <c r="N168" s="51">
        <f t="shared" si="63"/>
        <v>0</v>
      </c>
      <c r="O168" s="48" t="e">
        <f t="shared" si="62"/>
        <v>#DIV/0!</v>
      </c>
      <c r="P168" s="37" t="e">
        <f t="shared" si="54"/>
        <v>#DIV/0!</v>
      </c>
      <c r="Q168" s="56"/>
      <c r="R168" s="56">
        <f t="shared" si="55"/>
        <v>0.12</v>
      </c>
      <c r="S168" s="56">
        <f t="shared" si="56"/>
        <v>1.0596241035318976E-2</v>
      </c>
      <c r="T168" s="56">
        <f t="shared" si="57"/>
        <v>8.0519338057870024E-2</v>
      </c>
      <c r="U168" s="56">
        <f t="shared" si="60"/>
        <v>6.9711104768118703E-3</v>
      </c>
      <c r="V168" s="37" t="e">
        <f t="shared" si="58"/>
        <v>#DIV/0!</v>
      </c>
    </row>
    <row r="169" spans="2:22" x14ac:dyDescent="0.2">
      <c r="B169" s="50">
        <f t="shared" si="49"/>
        <v>158</v>
      </c>
      <c r="C169" s="53" t="e">
        <f t="shared" si="50"/>
        <v>#DIV/0!</v>
      </c>
      <c r="D169" s="47" t="e" cm="1">
        <f t="array" ref="D169">_xlfn.IFS(AND($C$7="Y",B169&lt;C$4),D168,AND(C$7="N",B169&lt;C$4, C$6=0),D168,AND($C$7="Y",B169=C$4),D168+F169-L169+N169-J169,AND($C$7="Y",B169&gt;C$4),(D168-J169)*(1-S169-U169), TRUE, (D168-J169)*(1-S169-U169))</f>
        <v>#DIV/0!</v>
      </c>
      <c r="E169" s="48">
        <f t="shared" si="51"/>
        <v>0</v>
      </c>
      <c r="F169" s="52">
        <f t="shared" si="59"/>
        <v>0</v>
      </c>
      <c r="G169" s="52">
        <f t="shared" si="61"/>
        <v>0</v>
      </c>
      <c r="H169" s="53" t="e">
        <f t="shared" si="52"/>
        <v>#DIV/0!</v>
      </c>
      <c r="I169" s="54" t="e">
        <f t="shared" si="48"/>
        <v>#DIV/0!</v>
      </c>
      <c r="J169" s="55" t="e">
        <f t="shared" si="47"/>
        <v>#DIV/0!</v>
      </c>
      <c r="K169" s="54" t="e" cm="1">
        <f t="array" ref="K169">_xlfn.IFS(AND($C$7="Y",B169=C$4),0,AND($C$7="N",B169=C$4),0,TRUE,((D168-D169)-L169+N169))</f>
        <v>#DIV/0!</v>
      </c>
      <c r="L169" s="51" t="e">
        <f t="shared" si="53"/>
        <v>#DIV/0!</v>
      </c>
      <c r="M169" s="51">
        <f t="shared" si="46"/>
        <v>0</v>
      </c>
      <c r="N169" s="51">
        <f t="shared" si="63"/>
        <v>0</v>
      </c>
      <c r="O169" s="48" t="e">
        <f t="shared" si="62"/>
        <v>#DIV/0!</v>
      </c>
      <c r="P169" s="37" t="e">
        <f t="shared" si="54"/>
        <v>#DIV/0!</v>
      </c>
      <c r="Q169" s="56"/>
      <c r="R169" s="56">
        <f t="shared" si="55"/>
        <v>0.12</v>
      </c>
      <c r="S169" s="56">
        <f t="shared" si="56"/>
        <v>1.0596241035318976E-2</v>
      </c>
      <c r="T169" s="56">
        <f t="shared" si="57"/>
        <v>8.0519338057870024E-2</v>
      </c>
      <c r="U169" s="56">
        <f t="shared" si="60"/>
        <v>6.9711104768118703E-3</v>
      </c>
      <c r="V169" s="37" t="e">
        <f t="shared" si="58"/>
        <v>#DIV/0!</v>
      </c>
    </row>
    <row r="170" spans="2:22" x14ac:dyDescent="0.2">
      <c r="B170" s="50">
        <f t="shared" si="49"/>
        <v>159</v>
      </c>
      <c r="C170" s="53" t="e">
        <f t="shared" si="50"/>
        <v>#DIV/0!</v>
      </c>
      <c r="D170" s="47" t="e" cm="1">
        <f t="array" ref="D170">_xlfn.IFS(AND($C$7="Y",B170&lt;C$4),D169,AND(C$7="N",B170&lt;C$4, C$6=0),D169,AND($C$7="Y",B170=C$4),D169+F170-L170+N170-J170,AND($C$7="Y",B170&gt;C$4),(D169-J170)*(1-S170-U170), TRUE, (D169-J170)*(1-S170-U170))</f>
        <v>#DIV/0!</v>
      </c>
      <c r="E170" s="48">
        <f t="shared" si="51"/>
        <v>0</v>
      </c>
      <c r="F170" s="52">
        <f t="shared" si="59"/>
        <v>0</v>
      </c>
      <c r="G170" s="52">
        <f t="shared" si="61"/>
        <v>0</v>
      </c>
      <c r="H170" s="53" t="e">
        <f t="shared" si="52"/>
        <v>#DIV/0!</v>
      </c>
      <c r="I170" s="54" t="e">
        <f t="shared" si="48"/>
        <v>#DIV/0!</v>
      </c>
      <c r="J170" s="55" t="e">
        <f t="shared" si="47"/>
        <v>#DIV/0!</v>
      </c>
      <c r="K170" s="54" t="e" cm="1">
        <f t="array" ref="K170">_xlfn.IFS(AND($C$7="Y",B170=C$4),0,AND($C$7="N",B170=C$4),0,TRUE,((D169-D170)-L170+N170))</f>
        <v>#DIV/0!</v>
      </c>
      <c r="L170" s="51" t="e">
        <f t="shared" si="53"/>
        <v>#DIV/0!</v>
      </c>
      <c r="M170" s="51">
        <f t="shared" ref="M170:M232" si="64">IFERROR(L166*-1,0)</f>
        <v>0</v>
      </c>
      <c r="N170" s="51">
        <f t="shared" si="63"/>
        <v>0</v>
      </c>
      <c r="O170" s="48" t="e">
        <f t="shared" si="62"/>
        <v>#DIV/0!</v>
      </c>
      <c r="P170" s="37" t="e">
        <f t="shared" si="54"/>
        <v>#DIV/0!</v>
      </c>
      <c r="Q170" s="56"/>
      <c r="R170" s="56">
        <f t="shared" si="55"/>
        <v>0.12</v>
      </c>
      <c r="S170" s="56">
        <f t="shared" si="56"/>
        <v>1.0596241035318976E-2</v>
      </c>
      <c r="T170" s="56">
        <f t="shared" si="57"/>
        <v>8.0519338057870024E-2</v>
      </c>
      <c r="U170" s="56">
        <f t="shared" si="60"/>
        <v>6.9711104768118703E-3</v>
      </c>
      <c r="V170" s="37" t="e">
        <f t="shared" si="58"/>
        <v>#DIV/0!</v>
      </c>
    </row>
    <row r="171" spans="2:22" x14ac:dyDescent="0.2">
      <c r="B171" s="50">
        <f t="shared" si="49"/>
        <v>160</v>
      </c>
      <c r="C171" s="53" t="e">
        <f t="shared" si="50"/>
        <v>#DIV/0!</v>
      </c>
      <c r="D171" s="47" t="e" cm="1">
        <f t="array" ref="D171">_xlfn.IFS(AND($C$7="Y",B171&lt;C$4),D170,AND(C$7="N",B171&lt;C$4, C$6=0),D170,AND($C$7="Y",B171=C$4),D170+F171-L171+N171-J171,AND($C$7="Y",B171&gt;C$4),(D170-J171)*(1-S171-U171), TRUE, (D170-J171)*(1-S171-U171))</f>
        <v>#DIV/0!</v>
      </c>
      <c r="E171" s="48">
        <f t="shared" si="51"/>
        <v>0</v>
      </c>
      <c r="F171" s="52">
        <f t="shared" si="59"/>
        <v>0</v>
      </c>
      <c r="G171" s="52">
        <f t="shared" si="61"/>
        <v>0</v>
      </c>
      <c r="H171" s="53" t="e">
        <f t="shared" si="52"/>
        <v>#DIV/0!</v>
      </c>
      <c r="I171" s="54" t="e">
        <f t="shared" si="48"/>
        <v>#DIV/0!</v>
      </c>
      <c r="J171" s="55" t="e">
        <f t="shared" si="47"/>
        <v>#DIV/0!</v>
      </c>
      <c r="K171" s="54" t="e" cm="1">
        <f t="array" ref="K171">_xlfn.IFS(AND($C$7="Y",B171=C$4),0,AND($C$7="N",B171=C$4),0,TRUE,((D170-D171)-L171+N171))</f>
        <v>#DIV/0!</v>
      </c>
      <c r="L171" s="51" t="e">
        <f t="shared" si="53"/>
        <v>#DIV/0!</v>
      </c>
      <c r="M171" s="51">
        <f t="shared" si="64"/>
        <v>0</v>
      </c>
      <c r="N171" s="51">
        <f t="shared" si="63"/>
        <v>0</v>
      </c>
      <c r="O171" s="48" t="e">
        <f t="shared" si="62"/>
        <v>#DIV/0!</v>
      </c>
      <c r="P171" s="37" t="e">
        <f t="shared" si="54"/>
        <v>#DIV/0!</v>
      </c>
      <c r="Q171" s="56"/>
      <c r="R171" s="56">
        <f t="shared" si="55"/>
        <v>0.12</v>
      </c>
      <c r="S171" s="56">
        <f t="shared" si="56"/>
        <v>1.0596241035318976E-2</v>
      </c>
      <c r="T171" s="56">
        <f t="shared" si="57"/>
        <v>8.0519338057870024E-2</v>
      </c>
      <c r="U171" s="56">
        <f t="shared" si="60"/>
        <v>6.9711104768118703E-3</v>
      </c>
      <c r="V171" s="37" t="e">
        <f t="shared" si="58"/>
        <v>#DIV/0!</v>
      </c>
    </row>
    <row r="172" spans="2:22" x14ac:dyDescent="0.2">
      <c r="B172" s="50">
        <f t="shared" si="49"/>
        <v>161</v>
      </c>
      <c r="C172" s="53" t="e">
        <f t="shared" si="50"/>
        <v>#DIV/0!</v>
      </c>
      <c r="D172" s="47" t="e" cm="1">
        <f t="array" ref="D172">_xlfn.IFS(AND($C$7="Y",B172&lt;C$4),D171,AND(C$7="N",B172&lt;C$4, C$6=0),D171,AND($C$7="Y",B172=C$4),D171+F172-L172+N172-J172,AND($C$7="Y",B172&gt;C$4),(D171-J172)*(1-S172-U172), TRUE, (D171-J172)*(1-S172-U172))</f>
        <v>#DIV/0!</v>
      </c>
      <c r="E172" s="48">
        <f t="shared" si="51"/>
        <v>0</v>
      </c>
      <c r="F172" s="52">
        <f t="shared" si="59"/>
        <v>0</v>
      </c>
      <c r="G172" s="52">
        <f t="shared" si="61"/>
        <v>0</v>
      </c>
      <c r="H172" s="53" t="e">
        <f t="shared" si="52"/>
        <v>#DIV/0!</v>
      </c>
      <c r="I172" s="54" t="e">
        <f t="shared" si="48"/>
        <v>#DIV/0!</v>
      </c>
      <c r="J172" s="55" t="e">
        <f t="shared" ref="J172:J216" si="65">IF(AND($B172&lt;=$C$4,C$7="Y"),0,IF(AND(C$7="N",C$4&gt;0,B172&lt;=C$4),0,H172-I172-D171*U172*C$2/12))</f>
        <v>#DIV/0!</v>
      </c>
      <c r="K172" s="54" t="e" cm="1">
        <f t="array" ref="K172">_xlfn.IFS(AND($C$7="Y",B172=C$4),0,AND($C$7="N",B172=C$4),0,TRUE,((D171-D172)-L172+N172))</f>
        <v>#DIV/0!</v>
      </c>
      <c r="L172" s="51" t="e">
        <f t="shared" si="53"/>
        <v>#DIV/0!</v>
      </c>
      <c r="M172" s="51">
        <f t="shared" si="64"/>
        <v>0</v>
      </c>
      <c r="N172" s="51">
        <f t="shared" si="63"/>
        <v>0</v>
      </c>
      <c r="O172" s="48" t="e">
        <f t="shared" si="62"/>
        <v>#DIV/0!</v>
      </c>
      <c r="P172" s="37" t="e">
        <f t="shared" si="54"/>
        <v>#DIV/0!</v>
      </c>
      <c r="Q172" s="56"/>
      <c r="R172" s="56">
        <f t="shared" si="55"/>
        <v>0.12</v>
      </c>
      <c r="S172" s="56">
        <f t="shared" si="56"/>
        <v>1.0596241035318976E-2</v>
      </c>
      <c r="T172" s="56">
        <f t="shared" si="57"/>
        <v>8.0519338057870024E-2</v>
      </c>
      <c r="U172" s="56">
        <f t="shared" si="60"/>
        <v>6.9711104768118703E-3</v>
      </c>
      <c r="V172" s="37" t="e">
        <f t="shared" si="58"/>
        <v>#DIV/0!</v>
      </c>
    </row>
    <row r="173" spans="2:22" x14ac:dyDescent="0.2">
      <c r="B173" s="50">
        <f t="shared" si="49"/>
        <v>162</v>
      </c>
      <c r="C173" s="53" t="e">
        <f t="shared" si="50"/>
        <v>#DIV/0!</v>
      </c>
      <c r="D173" s="47" t="e" cm="1">
        <f t="array" ref="D173">_xlfn.IFS(AND($C$7="Y",B173&lt;C$4),D172,AND(C$7="N",B173&lt;C$4, C$6=0),D172,AND($C$7="Y",B173=C$4),D172+F173-L173+N173-J173,AND($C$7="Y",B173&gt;C$4),(D172-J173)*(1-S173-U173), TRUE, (D172-J173)*(1-S173-U173))</f>
        <v>#DIV/0!</v>
      </c>
      <c r="E173" s="48">
        <f t="shared" si="51"/>
        <v>0</v>
      </c>
      <c r="F173" s="52">
        <f t="shared" si="59"/>
        <v>0</v>
      </c>
      <c r="G173" s="52">
        <f t="shared" si="61"/>
        <v>0</v>
      </c>
      <c r="H173" s="53" t="e">
        <f t="shared" si="52"/>
        <v>#DIV/0!</v>
      </c>
      <c r="I173" s="54" t="e">
        <f t="shared" si="48"/>
        <v>#DIV/0!</v>
      </c>
      <c r="J173" s="55" t="e">
        <f t="shared" si="65"/>
        <v>#DIV/0!</v>
      </c>
      <c r="K173" s="54" t="e" cm="1">
        <f t="array" ref="K173">_xlfn.IFS(AND($C$7="Y",B173=C$4),0,AND($C$7="N",B173=C$4),0,TRUE,((D172-D173)-L173+N173))</f>
        <v>#DIV/0!</v>
      </c>
      <c r="L173" s="51" t="e">
        <f t="shared" si="53"/>
        <v>#DIV/0!</v>
      </c>
      <c r="M173" s="51">
        <f t="shared" si="64"/>
        <v>0</v>
      </c>
      <c r="N173" s="51">
        <f t="shared" si="63"/>
        <v>0</v>
      </c>
      <c r="O173" s="48" t="e">
        <f t="shared" si="62"/>
        <v>#DIV/0!</v>
      </c>
      <c r="P173" s="37" t="e">
        <f t="shared" si="54"/>
        <v>#DIV/0!</v>
      </c>
      <c r="Q173" s="56"/>
      <c r="R173" s="56">
        <f t="shared" si="55"/>
        <v>0.12</v>
      </c>
      <c r="S173" s="56">
        <f t="shared" si="56"/>
        <v>1.0596241035318976E-2</v>
      </c>
      <c r="T173" s="56">
        <f t="shared" si="57"/>
        <v>8.0519338057870024E-2</v>
      </c>
      <c r="U173" s="56">
        <f t="shared" si="60"/>
        <v>6.9711104768118703E-3</v>
      </c>
      <c r="V173" s="37" t="e">
        <f t="shared" si="58"/>
        <v>#DIV/0!</v>
      </c>
    </row>
    <row r="174" spans="2:22" x14ac:dyDescent="0.2">
      <c r="B174" s="50">
        <f t="shared" si="49"/>
        <v>163</v>
      </c>
      <c r="C174" s="53" t="e">
        <f t="shared" si="50"/>
        <v>#DIV/0!</v>
      </c>
      <c r="D174" s="47" t="e" cm="1">
        <f t="array" ref="D174">_xlfn.IFS(AND($C$7="Y",B174&lt;C$4),D173,AND(C$7="N",B174&lt;C$4, C$6=0),D173,AND($C$7="Y",B174=C$4),D173+F174-L174+N174-J174,AND($C$7="Y",B174&gt;C$4),(D173-J174)*(1-S174-U174), TRUE, (D173-J174)*(1-S174-U174))</f>
        <v>#DIV/0!</v>
      </c>
      <c r="E174" s="48">
        <f t="shared" si="51"/>
        <v>0</v>
      </c>
      <c r="F174" s="52">
        <f t="shared" si="59"/>
        <v>0</v>
      </c>
      <c r="G174" s="52">
        <f t="shared" si="61"/>
        <v>0</v>
      </c>
      <c r="H174" s="53" t="e">
        <f t="shared" si="52"/>
        <v>#DIV/0!</v>
      </c>
      <c r="I174" s="54" t="e">
        <f t="shared" ref="I174:I216" si="66">IF(AND(C$7="Y",$B174&lt;=C$4),0,IF(AND(C$7="Y",$B174&gt;C$4),(1-U174)*C$2*D173/12,IF(AND($C$7="N",C$4&gt;0),(1-U174)*D173*C$2/12, (1-U174)*D173*C$2/12)))</f>
        <v>#DIV/0!</v>
      </c>
      <c r="J174" s="55" t="e">
        <f t="shared" si="65"/>
        <v>#DIV/0!</v>
      </c>
      <c r="K174" s="54" t="e" cm="1">
        <f t="array" ref="K174">_xlfn.IFS(AND($C$7="Y",B174=C$4),0,AND($C$7="N",B174=C$4),0,TRUE,((D173-D174)-L174+N174))</f>
        <v>#DIV/0!</v>
      </c>
      <c r="L174" s="51" t="e">
        <f t="shared" si="53"/>
        <v>#DIV/0!</v>
      </c>
      <c r="M174" s="51">
        <f t="shared" si="64"/>
        <v>0</v>
      </c>
      <c r="N174" s="51">
        <f t="shared" si="63"/>
        <v>0</v>
      </c>
      <c r="O174" s="48" t="e">
        <f t="shared" si="62"/>
        <v>#DIV/0!</v>
      </c>
      <c r="P174" s="37" t="e">
        <f t="shared" si="54"/>
        <v>#DIV/0!</v>
      </c>
      <c r="Q174" s="56"/>
      <c r="R174" s="56">
        <f t="shared" si="55"/>
        <v>0.12</v>
      </c>
      <c r="S174" s="56">
        <f t="shared" si="56"/>
        <v>1.0596241035318976E-2</v>
      </c>
      <c r="T174" s="56">
        <f t="shared" si="57"/>
        <v>8.0519338057870024E-2</v>
      </c>
      <c r="U174" s="56">
        <f t="shared" si="60"/>
        <v>6.9711104768118703E-3</v>
      </c>
      <c r="V174" s="37" t="e">
        <f t="shared" si="58"/>
        <v>#DIV/0!</v>
      </c>
    </row>
    <row r="175" spans="2:22" x14ac:dyDescent="0.2">
      <c r="B175" s="50">
        <f t="shared" si="49"/>
        <v>164</v>
      </c>
      <c r="C175" s="53" t="e">
        <f t="shared" si="50"/>
        <v>#DIV/0!</v>
      </c>
      <c r="D175" s="47" t="e" cm="1">
        <f t="array" ref="D175">_xlfn.IFS(AND($C$7="Y",B175&lt;C$4),D174,AND(C$7="N",B175&lt;C$4, C$6=0),D174,AND($C$7="Y",B175=C$4),D174+F175-L175+N175-J175,AND($C$7="Y",B175&gt;C$4),(D174-J175)*(1-S175-U175), TRUE, (D174-J175)*(1-S175-U175))</f>
        <v>#DIV/0!</v>
      </c>
      <c r="E175" s="48">
        <f t="shared" si="51"/>
        <v>0</v>
      </c>
      <c r="F175" s="52">
        <f t="shared" si="59"/>
        <v>0</v>
      </c>
      <c r="G175" s="52">
        <f t="shared" si="61"/>
        <v>0</v>
      </c>
      <c r="H175" s="53" t="e">
        <f t="shared" si="52"/>
        <v>#DIV/0!</v>
      </c>
      <c r="I175" s="54" t="e">
        <f t="shared" si="66"/>
        <v>#DIV/0!</v>
      </c>
      <c r="J175" s="55" t="e">
        <f t="shared" si="65"/>
        <v>#DIV/0!</v>
      </c>
      <c r="K175" s="54" t="e" cm="1">
        <f t="array" ref="K175">_xlfn.IFS(AND($C$7="Y",B175=C$4),0,AND($C$7="N",B175=C$4),0,TRUE,((D174-D175)-L175+N175))</f>
        <v>#DIV/0!</v>
      </c>
      <c r="L175" s="51" t="e">
        <f t="shared" si="53"/>
        <v>#DIV/0!</v>
      </c>
      <c r="M175" s="51">
        <f t="shared" si="64"/>
        <v>0</v>
      </c>
      <c r="N175" s="51">
        <f t="shared" si="63"/>
        <v>0</v>
      </c>
      <c r="O175" s="48" t="e">
        <f t="shared" si="62"/>
        <v>#DIV/0!</v>
      </c>
      <c r="P175" s="37" t="e">
        <f t="shared" si="54"/>
        <v>#DIV/0!</v>
      </c>
      <c r="Q175" s="56"/>
      <c r="R175" s="56">
        <f t="shared" si="55"/>
        <v>0.12</v>
      </c>
      <c r="S175" s="56">
        <f t="shared" si="56"/>
        <v>1.0596241035318976E-2</v>
      </c>
      <c r="T175" s="56">
        <f t="shared" si="57"/>
        <v>8.0519338057870024E-2</v>
      </c>
      <c r="U175" s="56">
        <f t="shared" si="60"/>
        <v>6.9711104768118703E-3</v>
      </c>
      <c r="V175" s="37" t="e">
        <f t="shared" si="58"/>
        <v>#DIV/0!</v>
      </c>
    </row>
    <row r="176" spans="2:22" x14ac:dyDescent="0.2">
      <c r="B176" s="50">
        <f t="shared" si="49"/>
        <v>165</v>
      </c>
      <c r="C176" s="53" t="e">
        <f t="shared" si="50"/>
        <v>#DIV/0!</v>
      </c>
      <c r="D176" s="47" t="e" cm="1">
        <f t="array" ref="D176">_xlfn.IFS(AND($C$7="Y",B176&lt;C$4),D175,AND(C$7="N",B176&lt;C$4, C$6=0),D175,AND($C$7="Y",B176=C$4),D175+F176-L176+N176-J176,AND($C$7="Y",B176&gt;C$4),(D175-J176)*(1-S176-U176), TRUE, (D175-J176)*(1-S176-U176))</f>
        <v>#DIV/0!</v>
      </c>
      <c r="E176" s="48">
        <f t="shared" si="51"/>
        <v>0</v>
      </c>
      <c r="F176" s="52">
        <f t="shared" si="59"/>
        <v>0</v>
      </c>
      <c r="G176" s="52">
        <f t="shared" si="61"/>
        <v>0</v>
      </c>
      <c r="H176" s="53" t="e">
        <f t="shared" si="52"/>
        <v>#DIV/0!</v>
      </c>
      <c r="I176" s="54" t="e">
        <f t="shared" si="66"/>
        <v>#DIV/0!</v>
      </c>
      <c r="J176" s="55" t="e">
        <f t="shared" si="65"/>
        <v>#DIV/0!</v>
      </c>
      <c r="K176" s="54" t="e" cm="1">
        <f t="array" ref="K176">_xlfn.IFS(AND($C$7="Y",B176=C$4),0,AND($C$7="N",B176=C$4),0,TRUE,((D175-D176)-L176+N176))</f>
        <v>#DIV/0!</v>
      </c>
      <c r="L176" s="51" t="e">
        <f t="shared" si="53"/>
        <v>#DIV/0!</v>
      </c>
      <c r="M176" s="51">
        <f t="shared" si="64"/>
        <v>0</v>
      </c>
      <c r="N176" s="51">
        <f t="shared" si="63"/>
        <v>0</v>
      </c>
      <c r="O176" s="48" t="e">
        <f t="shared" si="62"/>
        <v>#DIV/0!</v>
      </c>
      <c r="P176" s="37" t="e">
        <f t="shared" si="54"/>
        <v>#DIV/0!</v>
      </c>
      <c r="Q176" s="56"/>
      <c r="R176" s="56">
        <f t="shared" si="55"/>
        <v>0.12</v>
      </c>
      <c r="S176" s="56">
        <f t="shared" si="56"/>
        <v>1.0596241035318976E-2</v>
      </c>
      <c r="T176" s="56">
        <f t="shared" si="57"/>
        <v>8.0519338057870024E-2</v>
      </c>
      <c r="U176" s="56">
        <f t="shared" si="60"/>
        <v>6.9711104768118703E-3</v>
      </c>
      <c r="V176" s="37" t="e">
        <f t="shared" si="58"/>
        <v>#DIV/0!</v>
      </c>
    </row>
    <row r="177" spans="2:22" x14ac:dyDescent="0.2">
      <c r="B177" s="50">
        <f t="shared" si="49"/>
        <v>166</v>
      </c>
      <c r="C177" s="53" t="e">
        <f t="shared" si="50"/>
        <v>#DIV/0!</v>
      </c>
      <c r="D177" s="47" t="e" cm="1">
        <f t="array" ref="D177">_xlfn.IFS(AND($C$7="Y",B177&lt;C$4),D176,AND(C$7="N",B177&lt;C$4, C$6=0),D176,AND($C$7="Y",B177=C$4),D176+F177-L177+N177-J177,AND($C$7="Y",B177&gt;C$4),(D176-J177)*(1-S177-U177), TRUE, (D176-J177)*(1-S177-U177))</f>
        <v>#DIV/0!</v>
      </c>
      <c r="E177" s="48">
        <f t="shared" si="51"/>
        <v>0</v>
      </c>
      <c r="F177" s="52">
        <f t="shared" si="59"/>
        <v>0</v>
      </c>
      <c r="G177" s="52">
        <f t="shared" si="61"/>
        <v>0</v>
      </c>
      <c r="H177" s="53" t="e">
        <f t="shared" si="52"/>
        <v>#DIV/0!</v>
      </c>
      <c r="I177" s="54" t="e">
        <f t="shared" si="66"/>
        <v>#DIV/0!</v>
      </c>
      <c r="J177" s="55" t="e">
        <f t="shared" si="65"/>
        <v>#DIV/0!</v>
      </c>
      <c r="K177" s="54" t="e" cm="1">
        <f t="array" ref="K177">_xlfn.IFS(AND($C$7="Y",B177=C$4),0,AND($C$7="N",B177=C$4),0,TRUE,((D176-D177)-L177+N177))</f>
        <v>#DIV/0!</v>
      </c>
      <c r="L177" s="51" t="e">
        <f t="shared" si="53"/>
        <v>#DIV/0!</v>
      </c>
      <c r="M177" s="51">
        <f t="shared" si="64"/>
        <v>0</v>
      </c>
      <c r="N177" s="51">
        <f t="shared" si="63"/>
        <v>0</v>
      </c>
      <c r="O177" s="48" t="e">
        <f t="shared" si="62"/>
        <v>#DIV/0!</v>
      </c>
      <c r="P177" s="37" t="e">
        <f t="shared" si="54"/>
        <v>#DIV/0!</v>
      </c>
      <c r="Q177" s="56"/>
      <c r="R177" s="56">
        <f t="shared" si="55"/>
        <v>0.12</v>
      </c>
      <c r="S177" s="56">
        <f t="shared" si="56"/>
        <v>1.0596241035318976E-2</v>
      </c>
      <c r="T177" s="56">
        <f t="shared" si="57"/>
        <v>8.0519338057870024E-2</v>
      </c>
      <c r="U177" s="56">
        <f t="shared" si="60"/>
        <v>6.9711104768118703E-3</v>
      </c>
      <c r="V177" s="37" t="e">
        <f t="shared" si="58"/>
        <v>#DIV/0!</v>
      </c>
    </row>
    <row r="178" spans="2:22" x14ac:dyDescent="0.2">
      <c r="B178" s="50">
        <f t="shared" si="49"/>
        <v>167</v>
      </c>
      <c r="C178" s="53" t="e">
        <f t="shared" si="50"/>
        <v>#DIV/0!</v>
      </c>
      <c r="D178" s="47" t="e" cm="1">
        <f t="array" ref="D178">_xlfn.IFS(AND($C$7="Y",B178&lt;C$4),D177,AND(C$7="N",B178&lt;C$4, C$6=0),D177,AND($C$7="Y",B178=C$4),D177+F178-L178+N178-J178,AND($C$7="Y",B178&gt;C$4),(D177-J178)*(1-S178-U178), TRUE, (D177-J178)*(1-S178-U178))</f>
        <v>#DIV/0!</v>
      </c>
      <c r="E178" s="48">
        <f t="shared" si="51"/>
        <v>0</v>
      </c>
      <c r="F178" s="52">
        <f t="shared" si="59"/>
        <v>0</v>
      </c>
      <c r="G178" s="52">
        <f t="shared" si="61"/>
        <v>0</v>
      </c>
      <c r="H178" s="53" t="e">
        <f t="shared" si="52"/>
        <v>#DIV/0!</v>
      </c>
      <c r="I178" s="54" t="e">
        <f t="shared" si="66"/>
        <v>#DIV/0!</v>
      </c>
      <c r="J178" s="55" t="e">
        <f t="shared" si="65"/>
        <v>#DIV/0!</v>
      </c>
      <c r="K178" s="54" t="e" cm="1">
        <f t="array" ref="K178">_xlfn.IFS(AND($C$7="Y",B178=C$4),0,AND($C$7="N",B178=C$4),0,TRUE,((D177-D178)-L178+N178))</f>
        <v>#DIV/0!</v>
      </c>
      <c r="L178" s="51" t="e">
        <f t="shared" si="53"/>
        <v>#DIV/0!</v>
      </c>
      <c r="M178" s="51">
        <f t="shared" si="64"/>
        <v>0</v>
      </c>
      <c r="N178" s="51">
        <f t="shared" si="63"/>
        <v>0</v>
      </c>
      <c r="O178" s="48" t="e">
        <f t="shared" si="62"/>
        <v>#DIV/0!</v>
      </c>
      <c r="P178" s="37" t="e">
        <f t="shared" si="54"/>
        <v>#DIV/0!</v>
      </c>
      <c r="Q178" s="56"/>
      <c r="R178" s="56">
        <f t="shared" si="55"/>
        <v>0.12</v>
      </c>
      <c r="S178" s="56">
        <f t="shared" si="56"/>
        <v>1.0596241035318976E-2</v>
      </c>
      <c r="T178" s="56">
        <f t="shared" si="57"/>
        <v>8.0519338057870024E-2</v>
      </c>
      <c r="U178" s="56">
        <f t="shared" si="60"/>
        <v>6.9711104768118703E-3</v>
      </c>
      <c r="V178" s="37" t="e">
        <f t="shared" si="58"/>
        <v>#DIV/0!</v>
      </c>
    </row>
    <row r="179" spans="2:22" x14ac:dyDescent="0.2">
      <c r="B179" s="50">
        <f t="shared" si="49"/>
        <v>168</v>
      </c>
      <c r="C179" s="53" t="e">
        <f t="shared" si="50"/>
        <v>#DIV/0!</v>
      </c>
      <c r="D179" s="47" t="e" cm="1">
        <f t="array" ref="D179">_xlfn.IFS(AND($C$7="Y",B179&lt;C$4),D178,AND(C$7="N",B179&lt;C$4, C$6=0),D178,AND($C$7="Y",B179=C$4),D178+F179-L179+N179-J179,AND($C$7="Y",B179&gt;C$4),(D178-J179)*(1-S179-U179), TRUE, (D178-J179)*(1-S179-U179))</f>
        <v>#DIV/0!</v>
      </c>
      <c r="E179" s="48">
        <f t="shared" si="51"/>
        <v>0</v>
      </c>
      <c r="F179" s="52">
        <f t="shared" si="59"/>
        <v>0</v>
      </c>
      <c r="G179" s="52">
        <f t="shared" si="61"/>
        <v>0</v>
      </c>
      <c r="H179" s="53" t="e">
        <f t="shared" si="52"/>
        <v>#DIV/0!</v>
      </c>
      <c r="I179" s="54" t="e">
        <f t="shared" si="66"/>
        <v>#DIV/0!</v>
      </c>
      <c r="J179" s="55" t="e">
        <f t="shared" si="65"/>
        <v>#DIV/0!</v>
      </c>
      <c r="K179" s="54" t="e" cm="1">
        <f t="array" ref="K179">_xlfn.IFS(AND($C$7="Y",B179=C$4),0,AND($C$7="N",B179=C$4),0,TRUE,((D178-D179)-L179+N179))</f>
        <v>#DIV/0!</v>
      </c>
      <c r="L179" s="51" t="e">
        <f t="shared" si="53"/>
        <v>#DIV/0!</v>
      </c>
      <c r="M179" s="51">
        <f t="shared" si="64"/>
        <v>0</v>
      </c>
      <c r="N179" s="51">
        <f t="shared" si="63"/>
        <v>0</v>
      </c>
      <c r="O179" s="48" t="e">
        <f t="shared" si="62"/>
        <v>#DIV/0!</v>
      </c>
      <c r="P179" s="37" t="e">
        <f t="shared" si="54"/>
        <v>#DIV/0!</v>
      </c>
      <c r="Q179" s="56"/>
      <c r="R179" s="56">
        <f t="shared" si="55"/>
        <v>0.12</v>
      </c>
      <c r="S179" s="56">
        <f t="shared" si="56"/>
        <v>1.0596241035318976E-2</v>
      </c>
      <c r="T179" s="56">
        <f t="shared" si="57"/>
        <v>8.0519338057870024E-2</v>
      </c>
      <c r="U179" s="56">
        <f t="shared" si="60"/>
        <v>6.9711104768118703E-3</v>
      </c>
      <c r="V179" s="37" t="e">
        <f t="shared" si="58"/>
        <v>#DIV/0!</v>
      </c>
    </row>
    <row r="180" spans="2:22" x14ac:dyDescent="0.2">
      <c r="B180" s="50">
        <f t="shared" si="49"/>
        <v>169</v>
      </c>
      <c r="C180" s="53" t="e">
        <f t="shared" si="50"/>
        <v>#DIV/0!</v>
      </c>
      <c r="D180" s="47" t="e" cm="1">
        <f t="array" ref="D180">_xlfn.IFS(AND($C$7="Y",B180&lt;C$4),D179,AND(C$7="N",B180&lt;C$4, C$6=0),D179,AND($C$7="Y",B180=C$4),D179+F180-L180+N180-J180,AND($C$7="Y",B180&gt;C$4),(D179-J180)*(1-S180-U180), TRUE, (D179-J180)*(1-S180-U180))</f>
        <v>#DIV/0!</v>
      </c>
      <c r="E180" s="48">
        <f t="shared" si="51"/>
        <v>0</v>
      </c>
      <c r="F180" s="52">
        <f t="shared" si="59"/>
        <v>0</v>
      </c>
      <c r="G180" s="52">
        <f t="shared" si="61"/>
        <v>0</v>
      </c>
      <c r="H180" s="53" t="e">
        <f t="shared" si="52"/>
        <v>#DIV/0!</v>
      </c>
      <c r="I180" s="54" t="e">
        <f t="shared" si="66"/>
        <v>#DIV/0!</v>
      </c>
      <c r="J180" s="55" t="e">
        <f t="shared" si="65"/>
        <v>#DIV/0!</v>
      </c>
      <c r="K180" s="54" t="e" cm="1">
        <f t="array" ref="K180">_xlfn.IFS(AND($C$7="Y",B180=C$4),0,AND($C$7="N",B180=C$4),0,TRUE,((D179-D180)-L180+N180))</f>
        <v>#DIV/0!</v>
      </c>
      <c r="L180" s="51" t="e">
        <f t="shared" si="53"/>
        <v>#DIV/0!</v>
      </c>
      <c r="M180" s="51">
        <f t="shared" si="64"/>
        <v>0</v>
      </c>
      <c r="N180" s="51">
        <f t="shared" si="63"/>
        <v>0</v>
      </c>
      <c r="O180" s="48" t="e">
        <f t="shared" si="62"/>
        <v>#DIV/0!</v>
      </c>
      <c r="P180" s="37" t="e">
        <f t="shared" si="54"/>
        <v>#DIV/0!</v>
      </c>
      <c r="Q180" s="56"/>
      <c r="R180" s="56">
        <f t="shared" si="55"/>
        <v>0.12</v>
      </c>
      <c r="S180" s="56">
        <f t="shared" si="56"/>
        <v>1.0596241035318976E-2</v>
      </c>
      <c r="T180" s="56">
        <f t="shared" si="57"/>
        <v>8.0519338057870024E-2</v>
      </c>
      <c r="U180" s="56">
        <f t="shared" si="60"/>
        <v>6.9711104768118703E-3</v>
      </c>
      <c r="V180" s="37" t="e">
        <f t="shared" si="58"/>
        <v>#DIV/0!</v>
      </c>
    </row>
    <row r="181" spans="2:22" x14ac:dyDescent="0.2">
      <c r="B181" s="50">
        <f t="shared" si="49"/>
        <v>170</v>
      </c>
      <c r="C181" s="53" t="e">
        <f t="shared" si="50"/>
        <v>#DIV/0!</v>
      </c>
      <c r="D181" s="47" t="e" cm="1">
        <f t="array" ref="D181">_xlfn.IFS(AND($C$7="Y",B181&lt;C$4),D180,AND(C$7="N",B181&lt;C$4, C$6=0),D180,AND($C$7="Y",B181=C$4),D180+F181-L181+N181-J181,AND($C$7="Y",B181&gt;C$4),(D180-J181)*(1-S181-U181), TRUE, (D180-J181)*(1-S181-U181))</f>
        <v>#DIV/0!</v>
      </c>
      <c r="E181" s="48">
        <f t="shared" si="51"/>
        <v>0</v>
      </c>
      <c r="F181" s="52">
        <f t="shared" si="59"/>
        <v>0</v>
      </c>
      <c r="G181" s="52">
        <f t="shared" si="61"/>
        <v>0</v>
      </c>
      <c r="H181" s="53" t="e">
        <f t="shared" si="52"/>
        <v>#DIV/0!</v>
      </c>
      <c r="I181" s="54" t="e">
        <f t="shared" si="66"/>
        <v>#DIV/0!</v>
      </c>
      <c r="J181" s="55" t="e">
        <f t="shared" si="65"/>
        <v>#DIV/0!</v>
      </c>
      <c r="K181" s="54" t="e" cm="1">
        <f t="array" ref="K181">_xlfn.IFS(AND($C$7="Y",B181=C$4),0,AND($C$7="N",B181=C$4),0,TRUE,((D180-D181)-L181+N181))</f>
        <v>#DIV/0!</v>
      </c>
      <c r="L181" s="51" t="e">
        <f t="shared" si="53"/>
        <v>#DIV/0!</v>
      </c>
      <c r="M181" s="51">
        <f t="shared" si="64"/>
        <v>0</v>
      </c>
      <c r="N181" s="51">
        <f t="shared" si="63"/>
        <v>0</v>
      </c>
      <c r="O181" s="48" t="e">
        <f t="shared" si="62"/>
        <v>#DIV/0!</v>
      </c>
      <c r="P181" s="37" t="e">
        <f t="shared" si="54"/>
        <v>#DIV/0!</v>
      </c>
      <c r="Q181" s="56"/>
      <c r="R181" s="56">
        <f t="shared" si="55"/>
        <v>0.12</v>
      </c>
      <c r="S181" s="56">
        <f t="shared" si="56"/>
        <v>1.0596241035318976E-2</v>
      </c>
      <c r="T181" s="56">
        <f t="shared" si="57"/>
        <v>8.0519338057870024E-2</v>
      </c>
      <c r="U181" s="56">
        <f t="shared" si="60"/>
        <v>6.9711104768118703E-3</v>
      </c>
      <c r="V181" s="37" t="e">
        <f t="shared" si="58"/>
        <v>#DIV/0!</v>
      </c>
    </row>
    <row r="182" spans="2:22" x14ac:dyDescent="0.2">
      <c r="B182" s="50">
        <f t="shared" si="49"/>
        <v>171</v>
      </c>
      <c r="C182" s="53" t="e">
        <f t="shared" si="50"/>
        <v>#DIV/0!</v>
      </c>
      <c r="D182" s="47" t="e" cm="1">
        <f t="array" ref="D182">_xlfn.IFS(AND($C$7="Y",B182&lt;C$4),D181,AND(C$7="N",B182&lt;C$4, C$6=0),D181,AND($C$7="Y",B182=C$4),D181+F182-L182+N182-J182,AND($C$7="Y",B182&gt;C$4),(D181-J182)*(1-S182-U182), TRUE, (D181-J182)*(1-S182-U182))</f>
        <v>#DIV/0!</v>
      </c>
      <c r="E182" s="48">
        <f t="shared" si="51"/>
        <v>0</v>
      </c>
      <c r="F182" s="52">
        <f t="shared" si="59"/>
        <v>0</v>
      </c>
      <c r="G182" s="52">
        <f t="shared" si="61"/>
        <v>0</v>
      </c>
      <c r="H182" s="53" t="e">
        <f t="shared" si="52"/>
        <v>#DIV/0!</v>
      </c>
      <c r="I182" s="54" t="e">
        <f t="shared" si="66"/>
        <v>#DIV/0!</v>
      </c>
      <c r="J182" s="55" t="e">
        <f t="shared" si="65"/>
        <v>#DIV/0!</v>
      </c>
      <c r="K182" s="54" t="e" cm="1">
        <f t="array" ref="K182">_xlfn.IFS(AND($C$7="Y",B182=C$4),0,AND($C$7="N",B182=C$4),0,TRUE,((D181-D182)-L182+N182))</f>
        <v>#DIV/0!</v>
      </c>
      <c r="L182" s="51" t="e">
        <f t="shared" si="53"/>
        <v>#DIV/0!</v>
      </c>
      <c r="M182" s="51">
        <f t="shared" si="64"/>
        <v>0</v>
      </c>
      <c r="N182" s="51">
        <f t="shared" si="63"/>
        <v>0</v>
      </c>
      <c r="O182" s="48" t="e">
        <f t="shared" si="62"/>
        <v>#DIV/0!</v>
      </c>
      <c r="P182" s="37" t="e">
        <f t="shared" si="54"/>
        <v>#DIV/0!</v>
      </c>
      <c r="Q182" s="56"/>
      <c r="R182" s="56">
        <f t="shared" si="55"/>
        <v>0.12</v>
      </c>
      <c r="S182" s="56">
        <f t="shared" si="56"/>
        <v>1.0596241035318976E-2</v>
      </c>
      <c r="T182" s="56">
        <f t="shared" si="57"/>
        <v>8.0519338057870024E-2</v>
      </c>
      <c r="U182" s="56">
        <f t="shared" si="60"/>
        <v>6.9711104768118703E-3</v>
      </c>
      <c r="V182" s="37" t="e">
        <f t="shared" si="58"/>
        <v>#DIV/0!</v>
      </c>
    </row>
    <row r="183" spans="2:22" x14ac:dyDescent="0.2">
      <c r="B183" s="50">
        <f t="shared" si="49"/>
        <v>172</v>
      </c>
      <c r="C183" s="53" t="e">
        <f t="shared" si="50"/>
        <v>#DIV/0!</v>
      </c>
      <c r="D183" s="47" t="e" cm="1">
        <f t="array" ref="D183">_xlfn.IFS(AND($C$7="Y",B183&lt;C$4),D182,AND(C$7="N",B183&lt;C$4, C$6=0),D182,AND($C$7="Y",B183=C$4),D182+F183-L183+N183-J183,AND($C$7="Y",B183&gt;C$4),(D182-J183)*(1-S183-U183), TRUE, (D182-J183)*(1-S183-U183))</f>
        <v>#DIV/0!</v>
      </c>
      <c r="E183" s="48">
        <f t="shared" si="51"/>
        <v>0</v>
      </c>
      <c r="F183" s="52">
        <f t="shared" si="59"/>
        <v>0</v>
      </c>
      <c r="G183" s="52">
        <f t="shared" si="61"/>
        <v>0</v>
      </c>
      <c r="H183" s="53" t="e">
        <f t="shared" si="52"/>
        <v>#DIV/0!</v>
      </c>
      <c r="I183" s="54" t="e">
        <f t="shared" si="66"/>
        <v>#DIV/0!</v>
      </c>
      <c r="J183" s="55" t="e">
        <f t="shared" si="65"/>
        <v>#DIV/0!</v>
      </c>
      <c r="K183" s="54" t="e" cm="1">
        <f t="array" ref="K183">_xlfn.IFS(AND($C$7="Y",B183=C$4),0,AND($C$7="N",B183=C$4),0,TRUE,((D182-D183)-L183+N183))</f>
        <v>#DIV/0!</v>
      </c>
      <c r="L183" s="51" t="e">
        <f t="shared" si="53"/>
        <v>#DIV/0!</v>
      </c>
      <c r="M183" s="51">
        <f t="shared" si="64"/>
        <v>0</v>
      </c>
      <c r="N183" s="51">
        <f t="shared" si="63"/>
        <v>0</v>
      </c>
      <c r="O183" s="48" t="e">
        <f t="shared" si="62"/>
        <v>#DIV/0!</v>
      </c>
      <c r="P183" s="37" t="e">
        <f t="shared" si="54"/>
        <v>#DIV/0!</v>
      </c>
      <c r="Q183" s="56"/>
      <c r="R183" s="56">
        <f t="shared" si="55"/>
        <v>0.12</v>
      </c>
      <c r="S183" s="56">
        <f t="shared" si="56"/>
        <v>1.0596241035318976E-2</v>
      </c>
      <c r="T183" s="56">
        <f t="shared" si="57"/>
        <v>8.0519338057870024E-2</v>
      </c>
      <c r="U183" s="56">
        <f t="shared" si="60"/>
        <v>6.9711104768118703E-3</v>
      </c>
      <c r="V183" s="37" t="e">
        <f t="shared" si="58"/>
        <v>#DIV/0!</v>
      </c>
    </row>
    <row r="184" spans="2:22" x14ac:dyDescent="0.2">
      <c r="B184" s="50">
        <f t="shared" si="49"/>
        <v>173</v>
      </c>
      <c r="C184" s="53" t="e">
        <f t="shared" si="50"/>
        <v>#DIV/0!</v>
      </c>
      <c r="D184" s="47" t="e" cm="1">
        <f t="array" ref="D184">_xlfn.IFS(AND($C$7="Y",B184&lt;C$4),D183,AND(C$7="N",B184&lt;C$4, C$6=0),D183,AND($C$7="Y",B184=C$4),D183+F184-L184+N184-J184,AND($C$7="Y",B184&gt;C$4),(D183-J184)*(1-S184-U184), TRUE, (D183-J184)*(1-S184-U184))</f>
        <v>#DIV/0!</v>
      </c>
      <c r="E184" s="48">
        <f t="shared" si="51"/>
        <v>0</v>
      </c>
      <c r="F184" s="52">
        <f t="shared" si="59"/>
        <v>0</v>
      </c>
      <c r="G184" s="52">
        <f t="shared" si="61"/>
        <v>0</v>
      </c>
      <c r="H184" s="53" t="e">
        <f t="shared" si="52"/>
        <v>#DIV/0!</v>
      </c>
      <c r="I184" s="54" t="e">
        <f t="shared" si="66"/>
        <v>#DIV/0!</v>
      </c>
      <c r="J184" s="55" t="e">
        <f t="shared" si="65"/>
        <v>#DIV/0!</v>
      </c>
      <c r="K184" s="54" t="e" cm="1">
        <f t="array" ref="K184">_xlfn.IFS(AND($C$7="Y",B184=C$4),0,AND($C$7="N",B184=C$4),0,TRUE,((D183-D184)-L184+N184))</f>
        <v>#DIV/0!</v>
      </c>
      <c r="L184" s="51" t="e">
        <f t="shared" si="53"/>
        <v>#DIV/0!</v>
      </c>
      <c r="M184" s="51">
        <f t="shared" si="64"/>
        <v>0</v>
      </c>
      <c r="N184" s="51">
        <f t="shared" si="63"/>
        <v>0</v>
      </c>
      <c r="O184" s="48" t="e">
        <f t="shared" si="62"/>
        <v>#DIV/0!</v>
      </c>
      <c r="P184" s="37" t="e">
        <f t="shared" si="54"/>
        <v>#DIV/0!</v>
      </c>
      <c r="Q184" s="56"/>
      <c r="R184" s="56">
        <f t="shared" si="55"/>
        <v>0.12</v>
      </c>
      <c r="S184" s="56">
        <f t="shared" si="56"/>
        <v>1.0596241035318976E-2</v>
      </c>
      <c r="T184" s="56">
        <f t="shared" si="57"/>
        <v>8.0519338057870024E-2</v>
      </c>
      <c r="U184" s="56">
        <f t="shared" si="60"/>
        <v>6.9711104768118703E-3</v>
      </c>
      <c r="V184" s="37" t="e">
        <f t="shared" si="58"/>
        <v>#DIV/0!</v>
      </c>
    </row>
    <row r="185" spans="2:22" x14ac:dyDescent="0.2">
      <c r="B185" s="50">
        <f t="shared" si="49"/>
        <v>174</v>
      </c>
      <c r="C185" s="53" t="e">
        <f t="shared" si="50"/>
        <v>#DIV/0!</v>
      </c>
      <c r="D185" s="47" t="e" cm="1">
        <f t="array" ref="D185">_xlfn.IFS(AND($C$7="Y",B185&lt;C$4),D184,AND(C$7="N",B185&lt;C$4, C$6=0),D184,AND($C$7="Y",B185=C$4),D184+F185-L185+N185-J185,AND($C$7="Y",B185&gt;C$4),(D184-J185)*(1-S185-U185), TRUE, (D184-J185)*(1-S185-U185))</f>
        <v>#DIV/0!</v>
      </c>
      <c r="E185" s="48">
        <f t="shared" si="51"/>
        <v>0</v>
      </c>
      <c r="F185" s="52">
        <f t="shared" si="59"/>
        <v>0</v>
      </c>
      <c r="G185" s="52">
        <f t="shared" si="61"/>
        <v>0</v>
      </c>
      <c r="H185" s="53" t="e">
        <f t="shared" si="52"/>
        <v>#DIV/0!</v>
      </c>
      <c r="I185" s="54" t="e">
        <f t="shared" si="66"/>
        <v>#DIV/0!</v>
      </c>
      <c r="J185" s="55" t="e">
        <f t="shared" si="65"/>
        <v>#DIV/0!</v>
      </c>
      <c r="K185" s="54" t="e" cm="1">
        <f t="array" ref="K185">_xlfn.IFS(AND($C$7="Y",B185=C$4),0,AND($C$7="N",B185=C$4),0,TRUE,((D184-D185)-L185+N185))</f>
        <v>#DIV/0!</v>
      </c>
      <c r="L185" s="51" t="e">
        <f t="shared" si="53"/>
        <v>#DIV/0!</v>
      </c>
      <c r="M185" s="51">
        <f t="shared" si="64"/>
        <v>0</v>
      </c>
      <c r="N185" s="51">
        <f t="shared" si="63"/>
        <v>0</v>
      </c>
      <c r="O185" s="48" t="e">
        <f t="shared" si="62"/>
        <v>#DIV/0!</v>
      </c>
      <c r="P185" s="37" t="e">
        <f t="shared" si="54"/>
        <v>#DIV/0!</v>
      </c>
      <c r="Q185" s="56"/>
      <c r="R185" s="56">
        <f t="shared" si="55"/>
        <v>0.12</v>
      </c>
      <c r="S185" s="56">
        <f t="shared" si="56"/>
        <v>1.0596241035318976E-2</v>
      </c>
      <c r="T185" s="56">
        <f t="shared" si="57"/>
        <v>8.0519338057870024E-2</v>
      </c>
      <c r="U185" s="56">
        <f t="shared" si="60"/>
        <v>6.9711104768118703E-3</v>
      </c>
      <c r="V185" s="37" t="e">
        <f t="shared" si="58"/>
        <v>#DIV/0!</v>
      </c>
    </row>
    <row r="186" spans="2:22" x14ac:dyDescent="0.2">
      <c r="B186" s="50">
        <f t="shared" si="49"/>
        <v>175</v>
      </c>
      <c r="C186" s="53" t="e">
        <f t="shared" si="50"/>
        <v>#DIV/0!</v>
      </c>
      <c r="D186" s="47" t="e" cm="1">
        <f t="array" ref="D186">_xlfn.IFS(AND($C$7="Y",B186&lt;C$4),D185,AND(C$7="N",B186&lt;C$4, C$6=0),D185,AND($C$7="Y",B186=C$4),D185+F186-L186+N186-J186,AND($C$7="Y",B186&gt;C$4),(D185-J186)*(1-S186-U186), TRUE, (D185-J186)*(1-S186-U186))</f>
        <v>#DIV/0!</v>
      </c>
      <c r="E186" s="48">
        <f t="shared" si="51"/>
        <v>0</v>
      </c>
      <c r="F186" s="52">
        <f t="shared" si="59"/>
        <v>0</v>
      </c>
      <c r="G186" s="52">
        <f t="shared" si="61"/>
        <v>0</v>
      </c>
      <c r="H186" s="53" t="e">
        <f t="shared" si="52"/>
        <v>#DIV/0!</v>
      </c>
      <c r="I186" s="54" t="e">
        <f t="shared" si="66"/>
        <v>#DIV/0!</v>
      </c>
      <c r="J186" s="55" t="e">
        <f t="shared" si="65"/>
        <v>#DIV/0!</v>
      </c>
      <c r="K186" s="54" t="e" cm="1">
        <f t="array" ref="K186">_xlfn.IFS(AND($C$7="Y",B186=C$4),0,AND($C$7="N",B186=C$4),0,TRUE,((D185-D186)-L186+N186))</f>
        <v>#DIV/0!</v>
      </c>
      <c r="L186" s="51" t="e">
        <f t="shared" si="53"/>
        <v>#DIV/0!</v>
      </c>
      <c r="M186" s="51">
        <f t="shared" si="64"/>
        <v>0</v>
      </c>
      <c r="N186" s="51">
        <f t="shared" si="63"/>
        <v>0</v>
      </c>
      <c r="O186" s="48" t="e">
        <f t="shared" si="62"/>
        <v>#DIV/0!</v>
      </c>
      <c r="P186" s="37" t="e">
        <f t="shared" si="54"/>
        <v>#DIV/0!</v>
      </c>
      <c r="Q186" s="56"/>
      <c r="R186" s="56">
        <f t="shared" si="55"/>
        <v>0.12</v>
      </c>
      <c r="S186" s="56">
        <f t="shared" si="56"/>
        <v>1.0596241035318976E-2</v>
      </c>
      <c r="T186" s="56">
        <f t="shared" si="57"/>
        <v>8.0519338057870024E-2</v>
      </c>
      <c r="U186" s="56">
        <f t="shared" si="60"/>
        <v>6.9711104768118703E-3</v>
      </c>
      <c r="V186" s="37" t="e">
        <f t="shared" si="58"/>
        <v>#DIV/0!</v>
      </c>
    </row>
    <row r="187" spans="2:22" x14ac:dyDescent="0.2">
      <c r="B187" s="50">
        <f t="shared" si="49"/>
        <v>176</v>
      </c>
      <c r="C187" s="53" t="e">
        <f t="shared" si="50"/>
        <v>#DIV/0!</v>
      </c>
      <c r="D187" s="47" t="e" cm="1">
        <f t="array" ref="D187">_xlfn.IFS(AND($C$7="Y",B187&lt;C$4),D186,AND(C$7="N",B187&lt;C$4, C$6=0),D186,AND($C$7="Y",B187=C$4),D186+F187-L187+N187-J187,AND($C$7="Y",B187&gt;C$4),(D186-J187)*(1-S187-U187), TRUE, (D186-J187)*(1-S187-U187))</f>
        <v>#DIV/0!</v>
      </c>
      <c r="E187" s="48">
        <f t="shared" si="51"/>
        <v>0</v>
      </c>
      <c r="F187" s="52">
        <f t="shared" si="59"/>
        <v>0</v>
      </c>
      <c r="G187" s="52">
        <f t="shared" si="61"/>
        <v>0</v>
      </c>
      <c r="H187" s="53" t="e">
        <f t="shared" si="52"/>
        <v>#DIV/0!</v>
      </c>
      <c r="I187" s="54" t="e">
        <f t="shared" si="66"/>
        <v>#DIV/0!</v>
      </c>
      <c r="J187" s="55" t="e">
        <f t="shared" si="65"/>
        <v>#DIV/0!</v>
      </c>
      <c r="K187" s="54" t="e" cm="1">
        <f t="array" ref="K187">_xlfn.IFS(AND($C$7="Y",B187=C$4),0,AND($C$7="N",B187=C$4),0,TRUE,((D186-D187)-L187+N187))</f>
        <v>#DIV/0!</v>
      </c>
      <c r="L187" s="51" t="e">
        <f t="shared" si="53"/>
        <v>#DIV/0!</v>
      </c>
      <c r="M187" s="51">
        <f t="shared" si="64"/>
        <v>0</v>
      </c>
      <c r="N187" s="51">
        <f t="shared" si="63"/>
        <v>0</v>
      </c>
      <c r="O187" s="48" t="e">
        <f t="shared" si="62"/>
        <v>#DIV/0!</v>
      </c>
      <c r="P187" s="37" t="e">
        <f t="shared" si="54"/>
        <v>#DIV/0!</v>
      </c>
      <c r="Q187" s="56"/>
      <c r="R187" s="56">
        <f t="shared" si="55"/>
        <v>0.12</v>
      </c>
      <c r="S187" s="56">
        <f t="shared" si="56"/>
        <v>1.0596241035318976E-2</v>
      </c>
      <c r="T187" s="56">
        <f t="shared" si="57"/>
        <v>8.0519338057870024E-2</v>
      </c>
      <c r="U187" s="56">
        <f t="shared" si="60"/>
        <v>6.9711104768118703E-3</v>
      </c>
      <c r="V187" s="37" t="e">
        <f t="shared" si="58"/>
        <v>#DIV/0!</v>
      </c>
    </row>
    <row r="188" spans="2:22" x14ac:dyDescent="0.2">
      <c r="B188" s="50">
        <f t="shared" si="49"/>
        <v>177</v>
      </c>
      <c r="C188" s="53" t="e">
        <f t="shared" si="50"/>
        <v>#DIV/0!</v>
      </c>
      <c r="D188" s="47" t="e" cm="1">
        <f t="array" ref="D188">_xlfn.IFS(AND($C$7="Y",B188&lt;C$4),D187,AND(C$7="N",B188&lt;C$4, C$6=0),D187,AND($C$7="Y",B188=C$4),D187+F188-L188+N188-J188,AND($C$7="Y",B188&gt;C$4),(D187-J188)*(1-S188-U188), TRUE, (D187-J188)*(1-S188-U188))</f>
        <v>#DIV/0!</v>
      </c>
      <c r="E188" s="48">
        <f t="shared" si="51"/>
        <v>0</v>
      </c>
      <c r="F188" s="52">
        <f t="shared" si="59"/>
        <v>0</v>
      </c>
      <c r="G188" s="52">
        <f t="shared" si="61"/>
        <v>0</v>
      </c>
      <c r="H188" s="53" t="e">
        <f t="shared" si="52"/>
        <v>#DIV/0!</v>
      </c>
      <c r="I188" s="54" t="e">
        <f t="shared" si="66"/>
        <v>#DIV/0!</v>
      </c>
      <c r="J188" s="55" t="e">
        <f t="shared" si="65"/>
        <v>#DIV/0!</v>
      </c>
      <c r="K188" s="54" t="e" cm="1">
        <f t="array" ref="K188">_xlfn.IFS(AND($C$7="Y",B188=C$4),0,AND($C$7="N",B188=C$4),0,TRUE,((D187-D188)-L188+N188))</f>
        <v>#DIV/0!</v>
      </c>
      <c r="L188" s="51" t="e">
        <f t="shared" si="53"/>
        <v>#DIV/0!</v>
      </c>
      <c r="M188" s="51">
        <f t="shared" si="64"/>
        <v>0</v>
      </c>
      <c r="N188" s="51">
        <f t="shared" si="63"/>
        <v>0</v>
      </c>
      <c r="O188" s="48" t="e">
        <f t="shared" si="62"/>
        <v>#DIV/0!</v>
      </c>
      <c r="P188" s="37" t="e">
        <f t="shared" si="54"/>
        <v>#DIV/0!</v>
      </c>
      <c r="Q188" s="56"/>
      <c r="R188" s="56">
        <f t="shared" si="55"/>
        <v>0.12</v>
      </c>
      <c r="S188" s="56">
        <f t="shared" si="56"/>
        <v>1.0596241035318976E-2</v>
      </c>
      <c r="T188" s="56">
        <f t="shared" si="57"/>
        <v>8.0519338057870024E-2</v>
      </c>
      <c r="U188" s="56">
        <f t="shared" si="60"/>
        <v>6.9711104768118703E-3</v>
      </c>
      <c r="V188" s="37" t="e">
        <f t="shared" si="58"/>
        <v>#DIV/0!</v>
      </c>
    </row>
    <row r="189" spans="2:22" x14ac:dyDescent="0.2">
      <c r="B189" s="50">
        <f t="shared" si="49"/>
        <v>178</v>
      </c>
      <c r="C189" s="53" t="e">
        <f t="shared" si="50"/>
        <v>#DIV/0!</v>
      </c>
      <c r="D189" s="47" t="e" cm="1">
        <f t="array" ref="D189">_xlfn.IFS(AND($C$7="Y",B189&lt;C$4),D188,AND(C$7="N",B189&lt;C$4, C$6=0),D188,AND($C$7="Y",B189=C$4),D188+F189-L189+N189-J189,AND($C$7="Y",B189&gt;C$4),(D188-J189)*(1-S189-U189), TRUE, (D188-J189)*(1-S189-U189))</f>
        <v>#DIV/0!</v>
      </c>
      <c r="E189" s="48">
        <f t="shared" si="51"/>
        <v>0</v>
      </c>
      <c r="F189" s="52">
        <f t="shared" si="59"/>
        <v>0</v>
      </c>
      <c r="G189" s="52">
        <f t="shared" si="61"/>
        <v>0</v>
      </c>
      <c r="H189" s="53" t="e">
        <f t="shared" si="52"/>
        <v>#DIV/0!</v>
      </c>
      <c r="I189" s="54" t="e">
        <f t="shared" si="66"/>
        <v>#DIV/0!</v>
      </c>
      <c r="J189" s="55" t="e">
        <f t="shared" si="65"/>
        <v>#DIV/0!</v>
      </c>
      <c r="K189" s="54" t="e" cm="1">
        <f t="array" ref="K189">_xlfn.IFS(AND($C$7="Y",B189=C$4),0,AND($C$7="N",B189=C$4),0,TRUE,((D188-D189)-L189+N189))</f>
        <v>#DIV/0!</v>
      </c>
      <c r="L189" s="51" t="e">
        <f t="shared" si="53"/>
        <v>#DIV/0!</v>
      </c>
      <c r="M189" s="51">
        <f t="shared" si="64"/>
        <v>0</v>
      </c>
      <c r="N189" s="51">
        <f t="shared" si="63"/>
        <v>0</v>
      </c>
      <c r="O189" s="48" t="e">
        <f t="shared" si="62"/>
        <v>#DIV/0!</v>
      </c>
      <c r="P189" s="37" t="e">
        <f t="shared" si="54"/>
        <v>#DIV/0!</v>
      </c>
      <c r="Q189" s="56"/>
      <c r="R189" s="56">
        <f t="shared" si="55"/>
        <v>0.12</v>
      </c>
      <c r="S189" s="56">
        <f t="shared" si="56"/>
        <v>1.0596241035318976E-2</v>
      </c>
      <c r="T189" s="56">
        <f t="shared" si="57"/>
        <v>8.0519338057870024E-2</v>
      </c>
      <c r="U189" s="56">
        <f t="shared" si="60"/>
        <v>6.9711104768118703E-3</v>
      </c>
      <c r="V189" s="37" t="e">
        <f t="shared" si="58"/>
        <v>#DIV/0!</v>
      </c>
    </row>
    <row r="190" spans="2:22" x14ac:dyDescent="0.2">
      <c r="B190" s="50">
        <f t="shared" si="49"/>
        <v>179</v>
      </c>
      <c r="C190" s="53" t="e">
        <f t="shared" si="50"/>
        <v>#DIV/0!</v>
      </c>
      <c r="D190" s="47" t="e" cm="1">
        <f t="array" ref="D190">_xlfn.IFS(AND($C$7="Y",B190&lt;C$4),D189,AND(C$7="N",B190&lt;C$4, C$6=0),D189,AND($C$7="Y",B190=C$4),D189+F190-L190+N190-J190,AND($C$7="Y",B190&gt;C$4),(D189-J190)*(1-S190-U190), TRUE, (D189-J190)*(1-S190-U190))</f>
        <v>#DIV/0!</v>
      </c>
      <c r="E190" s="48">
        <f t="shared" si="51"/>
        <v>0</v>
      </c>
      <c r="F190" s="52">
        <f t="shared" si="59"/>
        <v>0</v>
      </c>
      <c r="G190" s="52">
        <f t="shared" si="61"/>
        <v>0</v>
      </c>
      <c r="H190" s="53" t="e">
        <f t="shared" si="52"/>
        <v>#DIV/0!</v>
      </c>
      <c r="I190" s="54" t="e">
        <f t="shared" si="66"/>
        <v>#DIV/0!</v>
      </c>
      <c r="J190" s="55" t="e">
        <f t="shared" si="65"/>
        <v>#DIV/0!</v>
      </c>
      <c r="K190" s="54" t="e" cm="1">
        <f t="array" ref="K190">_xlfn.IFS(AND($C$7="Y",B190=C$4),0,AND($C$7="N",B190=C$4),0,TRUE,((D189-D190)-L190+N190))</f>
        <v>#DIV/0!</v>
      </c>
      <c r="L190" s="51" t="e">
        <f t="shared" si="53"/>
        <v>#DIV/0!</v>
      </c>
      <c r="M190" s="51">
        <f t="shared" si="64"/>
        <v>0</v>
      </c>
      <c r="N190" s="51">
        <f t="shared" si="63"/>
        <v>0</v>
      </c>
      <c r="O190" s="48" t="e">
        <f t="shared" si="62"/>
        <v>#DIV/0!</v>
      </c>
      <c r="P190" s="37" t="e">
        <f t="shared" si="54"/>
        <v>#DIV/0!</v>
      </c>
      <c r="Q190" s="56"/>
      <c r="R190" s="56">
        <f t="shared" si="55"/>
        <v>0.12</v>
      </c>
      <c r="S190" s="56">
        <f t="shared" si="56"/>
        <v>1.0596241035318976E-2</v>
      </c>
      <c r="T190" s="56">
        <f t="shared" si="57"/>
        <v>8.0519338057870024E-2</v>
      </c>
      <c r="U190" s="56">
        <f t="shared" si="60"/>
        <v>6.9711104768118703E-3</v>
      </c>
      <c r="V190" s="37" t="e">
        <f t="shared" si="58"/>
        <v>#DIV/0!</v>
      </c>
    </row>
    <row r="191" spans="2:22" x14ac:dyDescent="0.2">
      <c r="B191" s="50">
        <f t="shared" si="49"/>
        <v>180</v>
      </c>
      <c r="C191" s="53" t="e">
        <f t="shared" si="50"/>
        <v>#DIV/0!</v>
      </c>
      <c r="D191" s="47" t="e" cm="1">
        <f t="array" ref="D191">_xlfn.IFS(AND($C$7="Y",B191&lt;C$4),D190,AND(C$7="N",B191&lt;C$4, C$6=0),D190,AND($C$7="Y",B191=C$4),D190+F191-L191+N191-J191,AND($C$7="Y",B191&gt;C$4),(D190-J191)*(1-S191-U191), TRUE, (D190-J191)*(1-S191-U191))</f>
        <v>#DIV/0!</v>
      </c>
      <c r="E191" s="48">
        <f t="shared" si="51"/>
        <v>0</v>
      </c>
      <c r="F191" s="52">
        <f t="shared" si="59"/>
        <v>0</v>
      </c>
      <c r="G191" s="52">
        <f t="shared" si="61"/>
        <v>0</v>
      </c>
      <c r="H191" s="53" t="e">
        <f t="shared" si="52"/>
        <v>#DIV/0!</v>
      </c>
      <c r="I191" s="54" t="e">
        <f t="shared" si="66"/>
        <v>#DIV/0!</v>
      </c>
      <c r="J191" s="55" t="e">
        <f t="shared" si="65"/>
        <v>#DIV/0!</v>
      </c>
      <c r="K191" s="54" t="e" cm="1">
        <f t="array" ref="K191">_xlfn.IFS(AND($C$7="Y",B191=C$4),0,AND($C$7="N",B191=C$4),0,TRUE,((D190-D191)-L191+N191))</f>
        <v>#DIV/0!</v>
      </c>
      <c r="L191" s="51" t="e">
        <f t="shared" si="53"/>
        <v>#DIV/0!</v>
      </c>
      <c r="M191" s="51">
        <f t="shared" si="64"/>
        <v>0</v>
      </c>
      <c r="N191" s="51">
        <f t="shared" si="63"/>
        <v>0</v>
      </c>
      <c r="O191" s="48" t="e">
        <f t="shared" si="62"/>
        <v>#DIV/0!</v>
      </c>
      <c r="P191" s="37" t="e">
        <f t="shared" si="54"/>
        <v>#DIV/0!</v>
      </c>
      <c r="Q191" s="56"/>
      <c r="R191" s="56">
        <f t="shared" si="55"/>
        <v>0.12</v>
      </c>
      <c r="S191" s="56">
        <f t="shared" si="56"/>
        <v>1.0596241035318976E-2</v>
      </c>
      <c r="T191" s="56">
        <f t="shared" si="57"/>
        <v>8.0519338057870024E-2</v>
      </c>
      <c r="U191" s="56">
        <f t="shared" si="60"/>
        <v>6.9711104768118703E-3</v>
      </c>
      <c r="V191" s="37" t="e">
        <f t="shared" si="58"/>
        <v>#DIV/0!</v>
      </c>
    </row>
    <row r="192" spans="2:22" x14ac:dyDescent="0.2">
      <c r="B192" s="50">
        <f t="shared" si="49"/>
        <v>181</v>
      </c>
      <c r="C192" s="53" t="e">
        <f t="shared" si="50"/>
        <v>#DIV/0!</v>
      </c>
      <c r="D192" s="47" t="e" cm="1">
        <f t="array" ref="D192">_xlfn.IFS(AND($C$7="Y",B192&lt;C$4),D191,AND(C$7="N",B192&lt;C$4, C$6=0),D191,AND($C$7="Y",B192=C$4),D191+F192-L192+N192-J192,AND($C$7="Y",B192&gt;C$4),(D191-J192)*(1-S192-U192), TRUE, (D191-J192)*(1-S192-U192))</f>
        <v>#DIV/0!</v>
      </c>
      <c r="E192" s="48">
        <f t="shared" si="51"/>
        <v>0</v>
      </c>
      <c r="F192" s="52">
        <f t="shared" si="59"/>
        <v>0</v>
      </c>
      <c r="G192" s="52">
        <f t="shared" si="61"/>
        <v>0</v>
      </c>
      <c r="H192" s="53" t="e">
        <f t="shared" si="52"/>
        <v>#DIV/0!</v>
      </c>
      <c r="I192" s="54" t="e">
        <f t="shared" si="66"/>
        <v>#DIV/0!</v>
      </c>
      <c r="J192" s="55" t="e">
        <f t="shared" si="65"/>
        <v>#DIV/0!</v>
      </c>
      <c r="K192" s="54" t="e" cm="1">
        <f t="array" ref="K192">_xlfn.IFS(AND($C$7="Y",B192=C$4),0,AND($C$7="N",B192=C$4),0,TRUE,((D191-D192)-L192+N192))</f>
        <v>#DIV/0!</v>
      </c>
      <c r="L192" s="51" t="e">
        <f t="shared" si="53"/>
        <v>#DIV/0!</v>
      </c>
      <c r="M192" s="51">
        <f t="shared" si="64"/>
        <v>0</v>
      </c>
      <c r="N192" s="51">
        <f t="shared" si="63"/>
        <v>0</v>
      </c>
      <c r="O192" s="48" t="e">
        <f t="shared" si="62"/>
        <v>#DIV/0!</v>
      </c>
      <c r="P192" s="37" t="e">
        <f t="shared" si="54"/>
        <v>#DIV/0!</v>
      </c>
      <c r="Q192" s="56"/>
      <c r="R192" s="56">
        <f t="shared" si="55"/>
        <v>0.12</v>
      </c>
      <c r="S192" s="56">
        <f t="shared" si="56"/>
        <v>1.0596241035318976E-2</v>
      </c>
      <c r="T192" s="56">
        <f t="shared" si="57"/>
        <v>8.0519338057870024E-2</v>
      </c>
      <c r="U192" s="56">
        <f t="shared" si="60"/>
        <v>6.9711104768118703E-3</v>
      </c>
      <c r="V192" s="37" t="e">
        <f t="shared" si="58"/>
        <v>#DIV/0!</v>
      </c>
    </row>
    <row r="193" spans="2:22" x14ac:dyDescent="0.2">
      <c r="B193" s="50">
        <f t="shared" si="49"/>
        <v>182</v>
      </c>
      <c r="C193" s="53" t="e">
        <f t="shared" si="50"/>
        <v>#DIV/0!</v>
      </c>
      <c r="D193" s="47" t="e" cm="1">
        <f t="array" ref="D193">_xlfn.IFS(AND($C$7="Y",B193&lt;C$4),D192,AND(C$7="N",B193&lt;C$4, C$6=0),D192,AND($C$7="Y",B193=C$4),D192+F193-L193+N193-J193,AND($C$7="Y",B193&gt;C$4),(D192-J193)*(1-S193-U193), TRUE, (D192-J193)*(1-S193-U193))</f>
        <v>#DIV/0!</v>
      </c>
      <c r="E193" s="48">
        <f t="shared" si="51"/>
        <v>0</v>
      </c>
      <c r="F193" s="52">
        <f t="shared" si="59"/>
        <v>0</v>
      </c>
      <c r="G193" s="52">
        <f t="shared" si="61"/>
        <v>0</v>
      </c>
      <c r="H193" s="53" t="e">
        <f t="shared" si="52"/>
        <v>#DIV/0!</v>
      </c>
      <c r="I193" s="54" t="e">
        <f t="shared" si="66"/>
        <v>#DIV/0!</v>
      </c>
      <c r="J193" s="55" t="e">
        <f t="shared" si="65"/>
        <v>#DIV/0!</v>
      </c>
      <c r="K193" s="54" t="e" cm="1">
        <f t="array" ref="K193">_xlfn.IFS(AND($C$7="Y",B193=C$4),0,AND($C$7="N",B193=C$4),0,TRUE,((D192-D193)-L193+N193))</f>
        <v>#DIV/0!</v>
      </c>
      <c r="L193" s="51" t="e">
        <f t="shared" si="53"/>
        <v>#DIV/0!</v>
      </c>
      <c r="M193" s="51">
        <f t="shared" si="64"/>
        <v>0</v>
      </c>
      <c r="N193" s="51">
        <f t="shared" si="63"/>
        <v>0</v>
      </c>
      <c r="O193" s="48" t="e">
        <f t="shared" si="62"/>
        <v>#DIV/0!</v>
      </c>
      <c r="P193" s="37" t="e">
        <f t="shared" si="54"/>
        <v>#DIV/0!</v>
      </c>
      <c r="Q193" s="56"/>
      <c r="R193" s="56">
        <f t="shared" si="55"/>
        <v>0.12</v>
      </c>
      <c r="S193" s="56">
        <f t="shared" si="56"/>
        <v>1.0596241035318976E-2</v>
      </c>
      <c r="T193" s="56">
        <f t="shared" si="57"/>
        <v>8.0519338057870024E-2</v>
      </c>
      <c r="U193" s="56">
        <f t="shared" si="60"/>
        <v>6.9711104768118703E-3</v>
      </c>
      <c r="V193" s="37" t="e">
        <f t="shared" si="58"/>
        <v>#DIV/0!</v>
      </c>
    </row>
    <row r="194" spans="2:22" x14ac:dyDescent="0.2">
      <c r="B194" s="50">
        <f t="shared" si="49"/>
        <v>183</v>
      </c>
      <c r="C194" s="53" t="e">
        <f t="shared" si="50"/>
        <v>#DIV/0!</v>
      </c>
      <c r="D194" s="47" t="e" cm="1">
        <f t="array" ref="D194">_xlfn.IFS(AND($C$7="Y",B194&lt;C$4),D193,AND(C$7="N",B194&lt;C$4, C$6=0),D193,AND($C$7="Y",B194=C$4),D193+F194-L194+N194-J194,AND($C$7="Y",B194&gt;C$4),(D193-J194)*(1-S194-U194), TRUE, (D193-J194)*(1-S194-U194))</f>
        <v>#DIV/0!</v>
      </c>
      <c r="E194" s="48">
        <f t="shared" si="51"/>
        <v>0</v>
      </c>
      <c r="F194" s="52">
        <f t="shared" si="59"/>
        <v>0</v>
      </c>
      <c r="G194" s="52">
        <f t="shared" si="61"/>
        <v>0</v>
      </c>
      <c r="H194" s="53" t="e">
        <f t="shared" si="52"/>
        <v>#DIV/0!</v>
      </c>
      <c r="I194" s="54" t="e">
        <f t="shared" si="66"/>
        <v>#DIV/0!</v>
      </c>
      <c r="J194" s="55" t="e">
        <f t="shared" si="65"/>
        <v>#DIV/0!</v>
      </c>
      <c r="K194" s="54" t="e" cm="1">
        <f t="array" ref="K194">_xlfn.IFS(AND($C$7="Y",B194=C$4),0,AND($C$7="N",B194=C$4),0,TRUE,((D193-D194)-L194+N194))</f>
        <v>#DIV/0!</v>
      </c>
      <c r="L194" s="51" t="e">
        <f t="shared" si="53"/>
        <v>#DIV/0!</v>
      </c>
      <c r="M194" s="51">
        <f t="shared" si="64"/>
        <v>0</v>
      </c>
      <c r="N194" s="51">
        <f t="shared" si="63"/>
        <v>0</v>
      </c>
      <c r="O194" s="48" t="e">
        <f t="shared" si="62"/>
        <v>#DIV/0!</v>
      </c>
      <c r="P194" s="37" t="e">
        <f t="shared" si="54"/>
        <v>#DIV/0!</v>
      </c>
      <c r="Q194" s="56"/>
      <c r="R194" s="56">
        <f t="shared" si="55"/>
        <v>0.12</v>
      </c>
      <c r="S194" s="56">
        <f t="shared" si="56"/>
        <v>1.0596241035318976E-2</v>
      </c>
      <c r="T194" s="56">
        <f t="shared" si="57"/>
        <v>8.0519338057870024E-2</v>
      </c>
      <c r="U194" s="56">
        <f t="shared" si="60"/>
        <v>6.9711104768118703E-3</v>
      </c>
      <c r="V194" s="37" t="e">
        <f t="shared" si="58"/>
        <v>#DIV/0!</v>
      </c>
    </row>
    <row r="195" spans="2:22" x14ac:dyDescent="0.2">
      <c r="B195" s="50">
        <f t="shared" si="49"/>
        <v>184</v>
      </c>
      <c r="C195" s="53" t="e">
        <f t="shared" si="50"/>
        <v>#DIV/0!</v>
      </c>
      <c r="D195" s="47" t="e" cm="1">
        <f t="array" ref="D195">_xlfn.IFS(AND($C$7="Y",B195&lt;C$4),D194,AND(C$7="N",B195&lt;C$4, C$6=0),D194,AND($C$7="Y",B195=C$4),D194+F195-L195+N195-J195,AND($C$7="Y",B195&gt;C$4),(D194-J195)*(1-S195-U195), TRUE, (D194-J195)*(1-S195-U195))</f>
        <v>#DIV/0!</v>
      </c>
      <c r="E195" s="48">
        <f t="shared" si="51"/>
        <v>0</v>
      </c>
      <c r="F195" s="52">
        <f t="shared" si="59"/>
        <v>0</v>
      </c>
      <c r="G195" s="52">
        <f t="shared" si="61"/>
        <v>0</v>
      </c>
      <c r="H195" s="53" t="e">
        <f t="shared" si="52"/>
        <v>#DIV/0!</v>
      </c>
      <c r="I195" s="54" t="e">
        <f t="shared" si="66"/>
        <v>#DIV/0!</v>
      </c>
      <c r="J195" s="55" t="e">
        <f t="shared" si="65"/>
        <v>#DIV/0!</v>
      </c>
      <c r="K195" s="54" t="e" cm="1">
        <f t="array" ref="K195">_xlfn.IFS(AND($C$7="Y",B195=C$4),0,AND($C$7="N",B195=C$4),0,TRUE,((D194-D195)-L195+N195))</f>
        <v>#DIV/0!</v>
      </c>
      <c r="L195" s="51" t="e">
        <f t="shared" si="53"/>
        <v>#DIV/0!</v>
      </c>
      <c r="M195" s="51">
        <f t="shared" si="64"/>
        <v>0</v>
      </c>
      <c r="N195" s="51">
        <f t="shared" si="63"/>
        <v>0</v>
      </c>
      <c r="O195" s="48" t="e">
        <f t="shared" si="62"/>
        <v>#DIV/0!</v>
      </c>
      <c r="P195" s="37" t="e">
        <f t="shared" si="54"/>
        <v>#DIV/0!</v>
      </c>
      <c r="Q195" s="56"/>
      <c r="R195" s="56">
        <f t="shared" si="55"/>
        <v>0.12</v>
      </c>
      <c r="S195" s="56">
        <f t="shared" si="56"/>
        <v>1.0596241035318976E-2</v>
      </c>
      <c r="T195" s="56">
        <f t="shared" si="57"/>
        <v>8.0519338057870024E-2</v>
      </c>
      <c r="U195" s="56">
        <f t="shared" si="60"/>
        <v>6.9711104768118703E-3</v>
      </c>
      <c r="V195" s="37" t="e">
        <f t="shared" si="58"/>
        <v>#DIV/0!</v>
      </c>
    </row>
    <row r="196" spans="2:22" x14ac:dyDescent="0.2">
      <c r="B196" s="50">
        <f t="shared" si="49"/>
        <v>185</v>
      </c>
      <c r="C196" s="53" t="e">
        <f t="shared" si="50"/>
        <v>#DIV/0!</v>
      </c>
      <c r="D196" s="47" t="e" cm="1">
        <f t="array" ref="D196">_xlfn.IFS(AND($C$7="Y",B196&lt;C$4),D195,AND(C$7="N",B196&lt;C$4, C$6=0),D195,AND($C$7="Y",B196=C$4),D195+F196-L196+N196-J196,AND($C$7="Y",B196&gt;C$4),(D195-J196)*(1-S196-U196), TRUE, (D195-J196)*(1-S196-U196))</f>
        <v>#DIV/0!</v>
      </c>
      <c r="E196" s="48">
        <f t="shared" si="51"/>
        <v>0</v>
      </c>
      <c r="F196" s="52">
        <f t="shared" si="59"/>
        <v>0</v>
      </c>
      <c r="G196" s="52">
        <f t="shared" si="61"/>
        <v>0</v>
      </c>
      <c r="H196" s="53" t="e">
        <f t="shared" si="52"/>
        <v>#DIV/0!</v>
      </c>
      <c r="I196" s="54" t="e">
        <f t="shared" si="66"/>
        <v>#DIV/0!</v>
      </c>
      <c r="J196" s="55" t="e">
        <f t="shared" si="65"/>
        <v>#DIV/0!</v>
      </c>
      <c r="K196" s="54" t="e" cm="1">
        <f t="array" ref="K196">_xlfn.IFS(AND($C$7="Y",B196=C$4),0,AND($C$7="N",B196=C$4),0,TRUE,((D195-D196)-L196+N196))</f>
        <v>#DIV/0!</v>
      </c>
      <c r="L196" s="51" t="e">
        <f t="shared" si="53"/>
        <v>#DIV/0!</v>
      </c>
      <c r="M196" s="51">
        <f t="shared" si="64"/>
        <v>0</v>
      </c>
      <c r="N196" s="51">
        <f t="shared" si="63"/>
        <v>0</v>
      </c>
      <c r="O196" s="48" t="e">
        <f t="shared" si="62"/>
        <v>#DIV/0!</v>
      </c>
      <c r="P196" s="37" t="e">
        <f t="shared" si="54"/>
        <v>#DIV/0!</v>
      </c>
      <c r="Q196" s="56"/>
      <c r="R196" s="56">
        <f t="shared" si="55"/>
        <v>0.12</v>
      </c>
      <c r="S196" s="56">
        <f t="shared" si="56"/>
        <v>1.0596241035318976E-2</v>
      </c>
      <c r="T196" s="56">
        <f t="shared" si="57"/>
        <v>8.0519338057870024E-2</v>
      </c>
      <c r="U196" s="56">
        <f t="shared" si="60"/>
        <v>6.9711104768118703E-3</v>
      </c>
      <c r="V196" s="37" t="e">
        <f t="shared" si="58"/>
        <v>#DIV/0!</v>
      </c>
    </row>
    <row r="197" spans="2:22" x14ac:dyDescent="0.2">
      <c r="B197" s="50">
        <f t="shared" si="49"/>
        <v>186</v>
      </c>
      <c r="C197" s="53" t="e">
        <f t="shared" si="50"/>
        <v>#DIV/0!</v>
      </c>
      <c r="D197" s="47" t="e" cm="1">
        <f t="array" ref="D197">_xlfn.IFS(AND($C$7="Y",B197&lt;C$4),D196,AND(C$7="N",B197&lt;C$4, C$6=0),D196,AND($C$7="Y",B197=C$4),D196+F197-L197+N197-J197,AND($C$7="Y",B197&gt;C$4),(D196-J197)*(1-S197-U197), TRUE, (D196-J197)*(1-S197-U197))</f>
        <v>#DIV/0!</v>
      </c>
      <c r="E197" s="48">
        <f t="shared" si="51"/>
        <v>0</v>
      </c>
      <c r="F197" s="52">
        <f t="shared" si="59"/>
        <v>0</v>
      </c>
      <c r="G197" s="52">
        <f t="shared" si="61"/>
        <v>0</v>
      </c>
      <c r="H197" s="53" t="e">
        <f t="shared" si="52"/>
        <v>#DIV/0!</v>
      </c>
      <c r="I197" s="54" t="e">
        <f t="shared" si="66"/>
        <v>#DIV/0!</v>
      </c>
      <c r="J197" s="55" t="e">
        <f t="shared" si="65"/>
        <v>#DIV/0!</v>
      </c>
      <c r="K197" s="54" t="e" cm="1">
        <f t="array" ref="K197">_xlfn.IFS(AND($C$7="Y",B197=C$4),0,AND($C$7="N",B197=C$4),0,TRUE,((D196-D197)-L197+N197))</f>
        <v>#DIV/0!</v>
      </c>
      <c r="L197" s="51" t="e">
        <f t="shared" si="53"/>
        <v>#DIV/0!</v>
      </c>
      <c r="M197" s="51">
        <f t="shared" si="64"/>
        <v>0</v>
      </c>
      <c r="N197" s="51">
        <f t="shared" si="63"/>
        <v>0</v>
      </c>
      <c r="O197" s="48" t="e">
        <f t="shared" si="62"/>
        <v>#DIV/0!</v>
      </c>
      <c r="P197" s="37" t="e">
        <f t="shared" si="54"/>
        <v>#DIV/0!</v>
      </c>
      <c r="Q197" s="56"/>
      <c r="R197" s="56">
        <f t="shared" si="55"/>
        <v>0.12</v>
      </c>
      <c r="S197" s="56">
        <f t="shared" si="56"/>
        <v>1.0596241035318976E-2</v>
      </c>
      <c r="T197" s="56">
        <f t="shared" si="57"/>
        <v>8.0519338057870024E-2</v>
      </c>
      <c r="U197" s="56">
        <f t="shared" si="60"/>
        <v>6.9711104768118703E-3</v>
      </c>
      <c r="V197" s="37" t="e">
        <f t="shared" si="58"/>
        <v>#DIV/0!</v>
      </c>
    </row>
    <row r="198" spans="2:22" x14ac:dyDescent="0.2">
      <c r="B198" s="50">
        <f t="shared" si="49"/>
        <v>187</v>
      </c>
      <c r="C198" s="53" t="e">
        <f t="shared" si="50"/>
        <v>#DIV/0!</v>
      </c>
      <c r="D198" s="47" t="e" cm="1">
        <f t="array" ref="D198">_xlfn.IFS(AND($C$7="Y",B198&lt;C$4),D197,AND(C$7="N",B198&lt;C$4, C$6=0),D197,AND($C$7="Y",B198=C$4),D197+F198-L198+N198-J198,AND($C$7="Y",B198&gt;C$4),(D197-J198)*(1-S198-U198), TRUE, (D197-J198)*(1-S198-U198))</f>
        <v>#DIV/0!</v>
      </c>
      <c r="E198" s="48">
        <f t="shared" si="51"/>
        <v>0</v>
      </c>
      <c r="F198" s="52">
        <f t="shared" si="59"/>
        <v>0</v>
      </c>
      <c r="G198" s="52">
        <f t="shared" si="61"/>
        <v>0</v>
      </c>
      <c r="H198" s="53" t="e">
        <f t="shared" si="52"/>
        <v>#DIV/0!</v>
      </c>
      <c r="I198" s="54" t="e">
        <f t="shared" si="66"/>
        <v>#DIV/0!</v>
      </c>
      <c r="J198" s="55" t="e">
        <f t="shared" si="65"/>
        <v>#DIV/0!</v>
      </c>
      <c r="K198" s="54" t="e" cm="1">
        <f t="array" ref="K198">_xlfn.IFS(AND($C$7="Y",B198=C$4),0,AND($C$7="N",B198=C$4),0,TRUE,((D197-D198)-L198+N198))</f>
        <v>#DIV/0!</v>
      </c>
      <c r="L198" s="51" t="e">
        <f t="shared" si="53"/>
        <v>#DIV/0!</v>
      </c>
      <c r="M198" s="51">
        <f t="shared" si="64"/>
        <v>0</v>
      </c>
      <c r="N198" s="51">
        <f t="shared" si="63"/>
        <v>0</v>
      </c>
      <c r="O198" s="48" t="e">
        <f t="shared" si="62"/>
        <v>#DIV/0!</v>
      </c>
      <c r="P198" s="37" t="e">
        <f t="shared" si="54"/>
        <v>#DIV/0!</v>
      </c>
      <c r="Q198" s="56"/>
      <c r="R198" s="56">
        <f t="shared" si="55"/>
        <v>0.12</v>
      </c>
      <c r="S198" s="56">
        <f t="shared" si="56"/>
        <v>1.0596241035318976E-2</v>
      </c>
      <c r="T198" s="56">
        <f t="shared" si="57"/>
        <v>8.0519338057870024E-2</v>
      </c>
      <c r="U198" s="56">
        <f t="shared" si="60"/>
        <v>6.9711104768118703E-3</v>
      </c>
      <c r="V198" s="37" t="e">
        <f t="shared" si="58"/>
        <v>#DIV/0!</v>
      </c>
    </row>
    <row r="199" spans="2:22" x14ac:dyDescent="0.2">
      <c r="B199" s="50">
        <f t="shared" si="49"/>
        <v>188</v>
      </c>
      <c r="C199" s="53" t="e">
        <f t="shared" si="50"/>
        <v>#DIV/0!</v>
      </c>
      <c r="D199" s="47" t="e" cm="1">
        <f t="array" ref="D199">_xlfn.IFS(AND($C$7="Y",B199&lt;C$4),D198,AND(C$7="N",B199&lt;C$4, C$6=0),D198,AND($C$7="Y",B199=C$4),D198+F199-L199+N199-J199,AND($C$7="Y",B199&gt;C$4),(D198-J199)*(1-S199-U199), TRUE, (D198-J199)*(1-S199-U199))</f>
        <v>#DIV/0!</v>
      </c>
      <c r="E199" s="48">
        <f t="shared" si="51"/>
        <v>0</v>
      </c>
      <c r="F199" s="52">
        <f t="shared" si="59"/>
        <v>0</v>
      </c>
      <c r="G199" s="52">
        <f t="shared" si="61"/>
        <v>0</v>
      </c>
      <c r="H199" s="53" t="e">
        <f t="shared" si="52"/>
        <v>#DIV/0!</v>
      </c>
      <c r="I199" s="54" t="e">
        <f t="shared" si="66"/>
        <v>#DIV/0!</v>
      </c>
      <c r="J199" s="55" t="e">
        <f t="shared" si="65"/>
        <v>#DIV/0!</v>
      </c>
      <c r="K199" s="54" t="e" cm="1">
        <f t="array" ref="K199">_xlfn.IFS(AND($C$7="Y",B199=C$4),0,AND($C$7="N",B199=C$4),0,TRUE,((D198-D199)-L199+N199))</f>
        <v>#DIV/0!</v>
      </c>
      <c r="L199" s="51" t="e">
        <f t="shared" si="53"/>
        <v>#DIV/0!</v>
      </c>
      <c r="M199" s="51">
        <f t="shared" si="64"/>
        <v>0</v>
      </c>
      <c r="N199" s="51">
        <f t="shared" si="63"/>
        <v>0</v>
      </c>
      <c r="O199" s="48" t="e">
        <f t="shared" si="62"/>
        <v>#DIV/0!</v>
      </c>
      <c r="P199" s="37" t="e">
        <f t="shared" si="54"/>
        <v>#DIV/0!</v>
      </c>
      <c r="Q199" s="56"/>
      <c r="R199" s="56">
        <f t="shared" si="55"/>
        <v>0.12</v>
      </c>
      <c r="S199" s="56">
        <f t="shared" si="56"/>
        <v>1.0596241035318976E-2</v>
      </c>
      <c r="T199" s="56">
        <f t="shared" si="57"/>
        <v>8.0519338057870024E-2</v>
      </c>
      <c r="U199" s="56">
        <f t="shared" si="60"/>
        <v>6.9711104768118703E-3</v>
      </c>
      <c r="V199" s="37" t="e">
        <f t="shared" si="58"/>
        <v>#DIV/0!</v>
      </c>
    </row>
    <row r="200" spans="2:22" x14ac:dyDescent="0.2">
      <c r="B200" s="50">
        <f t="shared" si="49"/>
        <v>189</v>
      </c>
      <c r="C200" s="53" t="e">
        <f t="shared" si="50"/>
        <v>#DIV/0!</v>
      </c>
      <c r="D200" s="47" t="e" cm="1">
        <f t="array" ref="D200">_xlfn.IFS(AND($C$7="Y",B200&lt;C$4),D199,AND(C$7="N",B200&lt;C$4, C$6=0),D199,AND($C$7="Y",B200=C$4),D199+F200-L200+N200-J200,AND($C$7="Y",B200&gt;C$4),(D199-J200)*(1-S200-U200), TRUE, (D199-J200)*(1-S200-U200))</f>
        <v>#DIV/0!</v>
      </c>
      <c r="E200" s="48">
        <f t="shared" si="51"/>
        <v>0</v>
      </c>
      <c r="F200" s="52">
        <f t="shared" si="59"/>
        <v>0</v>
      </c>
      <c r="G200" s="52">
        <f t="shared" si="61"/>
        <v>0</v>
      </c>
      <c r="H200" s="53" t="e">
        <f t="shared" si="52"/>
        <v>#DIV/0!</v>
      </c>
      <c r="I200" s="54" t="e">
        <f t="shared" si="66"/>
        <v>#DIV/0!</v>
      </c>
      <c r="J200" s="55" t="e">
        <f t="shared" si="65"/>
        <v>#DIV/0!</v>
      </c>
      <c r="K200" s="54" t="e" cm="1">
        <f t="array" ref="K200">_xlfn.IFS(AND($C$7="Y",B200=C$4),0,AND($C$7="N",B200=C$4),0,TRUE,((D199-D200)-L200+N200))</f>
        <v>#DIV/0!</v>
      </c>
      <c r="L200" s="51" t="e">
        <f t="shared" si="53"/>
        <v>#DIV/0!</v>
      </c>
      <c r="M200" s="51">
        <f t="shared" si="64"/>
        <v>0</v>
      </c>
      <c r="N200" s="51">
        <f t="shared" si="63"/>
        <v>0</v>
      </c>
      <c r="O200" s="48" t="e">
        <f t="shared" si="62"/>
        <v>#DIV/0!</v>
      </c>
      <c r="P200" s="37" t="e">
        <f t="shared" si="54"/>
        <v>#DIV/0!</v>
      </c>
      <c r="Q200" s="56"/>
      <c r="R200" s="56">
        <f t="shared" si="55"/>
        <v>0.12</v>
      </c>
      <c r="S200" s="56">
        <f t="shared" si="56"/>
        <v>1.0596241035318976E-2</v>
      </c>
      <c r="T200" s="56">
        <f t="shared" si="57"/>
        <v>8.0519338057870024E-2</v>
      </c>
      <c r="U200" s="56">
        <f t="shared" si="60"/>
        <v>6.9711104768118703E-3</v>
      </c>
      <c r="V200" s="37" t="e">
        <f t="shared" si="58"/>
        <v>#DIV/0!</v>
      </c>
    </row>
    <row r="201" spans="2:22" x14ac:dyDescent="0.2">
      <c r="B201" s="50">
        <f t="shared" si="49"/>
        <v>190</v>
      </c>
      <c r="C201" s="53" t="e">
        <f t="shared" si="50"/>
        <v>#DIV/0!</v>
      </c>
      <c r="D201" s="47" t="e" cm="1">
        <f t="array" ref="D201">_xlfn.IFS(AND($C$7="Y",B201&lt;C$4),D200,AND(C$7="N",B201&lt;C$4, C$6=0),D200,AND($C$7="Y",B201=C$4),D200+F201-L201+N201-J201,AND($C$7="Y",B201&gt;C$4),(D200-J201)*(1-S201-U201), TRUE, (D200-J201)*(1-S201-U201))</f>
        <v>#DIV/0!</v>
      </c>
      <c r="E201" s="48">
        <f t="shared" si="51"/>
        <v>0</v>
      </c>
      <c r="F201" s="52">
        <f t="shared" si="59"/>
        <v>0</v>
      </c>
      <c r="G201" s="52">
        <f t="shared" si="61"/>
        <v>0</v>
      </c>
      <c r="H201" s="53" t="e">
        <f t="shared" si="52"/>
        <v>#DIV/0!</v>
      </c>
      <c r="I201" s="54" t="e">
        <f t="shared" si="66"/>
        <v>#DIV/0!</v>
      </c>
      <c r="J201" s="55" t="e">
        <f t="shared" si="65"/>
        <v>#DIV/0!</v>
      </c>
      <c r="K201" s="54" t="e" cm="1">
        <f t="array" ref="K201">_xlfn.IFS(AND($C$7="Y",B201=C$4),0,AND($C$7="N",B201=C$4),0,TRUE,((D200-D201)-L201+N201))</f>
        <v>#DIV/0!</v>
      </c>
      <c r="L201" s="51" t="e">
        <f t="shared" si="53"/>
        <v>#DIV/0!</v>
      </c>
      <c r="M201" s="51">
        <f t="shared" si="64"/>
        <v>0</v>
      </c>
      <c r="N201" s="51">
        <f t="shared" si="63"/>
        <v>0</v>
      </c>
      <c r="O201" s="48" t="e">
        <f t="shared" si="62"/>
        <v>#DIV/0!</v>
      </c>
      <c r="P201" s="37" t="e">
        <f t="shared" si="54"/>
        <v>#DIV/0!</v>
      </c>
      <c r="Q201" s="56"/>
      <c r="R201" s="56">
        <f t="shared" si="55"/>
        <v>0.12</v>
      </c>
      <c r="S201" s="56">
        <f t="shared" si="56"/>
        <v>1.0596241035318976E-2</v>
      </c>
      <c r="T201" s="56">
        <f t="shared" si="57"/>
        <v>8.0519338057870024E-2</v>
      </c>
      <c r="U201" s="56">
        <f t="shared" si="60"/>
        <v>6.9711104768118703E-3</v>
      </c>
      <c r="V201" s="37" t="e">
        <f t="shared" si="58"/>
        <v>#DIV/0!</v>
      </c>
    </row>
    <row r="202" spans="2:22" x14ac:dyDescent="0.2">
      <c r="B202" s="50">
        <f t="shared" si="49"/>
        <v>191</v>
      </c>
      <c r="C202" s="53" t="e">
        <f t="shared" si="50"/>
        <v>#DIV/0!</v>
      </c>
      <c r="D202" s="47" t="e" cm="1">
        <f t="array" ref="D202">_xlfn.IFS(AND($C$7="Y",B202&lt;C$4),D201,AND(C$7="N",B202&lt;C$4, C$6=0),D201,AND($C$7="Y",B202=C$4),D201+F202-L202+N202-J202,AND($C$7="Y",B202&gt;C$4),(D201-J202)*(1-S202-U202), TRUE, (D201-J202)*(1-S202-U202))</f>
        <v>#DIV/0!</v>
      </c>
      <c r="E202" s="48">
        <f t="shared" si="51"/>
        <v>0</v>
      </c>
      <c r="F202" s="52">
        <f t="shared" si="59"/>
        <v>0</v>
      </c>
      <c r="G202" s="52">
        <f t="shared" si="61"/>
        <v>0</v>
      </c>
      <c r="H202" s="53" t="e">
        <f t="shared" si="52"/>
        <v>#DIV/0!</v>
      </c>
      <c r="I202" s="54" t="e">
        <f t="shared" si="66"/>
        <v>#DIV/0!</v>
      </c>
      <c r="J202" s="55" t="e">
        <f t="shared" si="65"/>
        <v>#DIV/0!</v>
      </c>
      <c r="K202" s="54" t="e" cm="1">
        <f t="array" ref="K202">_xlfn.IFS(AND($C$7="Y",B202=C$4),0,AND($C$7="N",B202=C$4),0,TRUE,((D201-D202)-L202+N202))</f>
        <v>#DIV/0!</v>
      </c>
      <c r="L202" s="51" t="e">
        <f t="shared" si="53"/>
        <v>#DIV/0!</v>
      </c>
      <c r="M202" s="51">
        <f t="shared" si="64"/>
        <v>0</v>
      </c>
      <c r="N202" s="51">
        <f t="shared" si="63"/>
        <v>0</v>
      </c>
      <c r="O202" s="48" t="e">
        <f t="shared" si="62"/>
        <v>#DIV/0!</v>
      </c>
      <c r="P202" s="37" t="e">
        <f t="shared" si="54"/>
        <v>#DIV/0!</v>
      </c>
      <c r="Q202" s="56"/>
      <c r="R202" s="56">
        <f t="shared" si="55"/>
        <v>0.12</v>
      </c>
      <c r="S202" s="56">
        <f t="shared" si="56"/>
        <v>1.0596241035318976E-2</v>
      </c>
      <c r="T202" s="56">
        <f t="shared" si="57"/>
        <v>8.0519338057870024E-2</v>
      </c>
      <c r="U202" s="56">
        <f t="shared" si="60"/>
        <v>6.9711104768118703E-3</v>
      </c>
      <c r="V202" s="37" t="e">
        <f t="shared" si="58"/>
        <v>#DIV/0!</v>
      </c>
    </row>
    <row r="203" spans="2:22" x14ac:dyDescent="0.2">
      <c r="B203" s="50">
        <f t="shared" si="49"/>
        <v>192</v>
      </c>
      <c r="C203" s="53" t="e">
        <f t="shared" si="50"/>
        <v>#DIV/0!</v>
      </c>
      <c r="D203" s="47" t="e" cm="1">
        <f t="array" ref="D203">_xlfn.IFS(AND($C$7="Y",B203&lt;C$4),D202,AND(C$7="N",B203&lt;C$4, C$6=0),D202,AND($C$7="Y",B203=C$4),D202+F203-L203+N203-J203,AND($C$7="Y",B203&gt;C$4),(D202-J203)*(1-S203-U203), TRUE, (D202-J203)*(1-S203-U203))</f>
        <v>#DIV/0!</v>
      </c>
      <c r="E203" s="48">
        <f t="shared" si="51"/>
        <v>0</v>
      </c>
      <c r="F203" s="52">
        <f t="shared" si="59"/>
        <v>0</v>
      </c>
      <c r="G203" s="52">
        <f t="shared" si="61"/>
        <v>0</v>
      </c>
      <c r="H203" s="53" t="e">
        <f t="shared" si="52"/>
        <v>#DIV/0!</v>
      </c>
      <c r="I203" s="54" t="e">
        <f t="shared" si="66"/>
        <v>#DIV/0!</v>
      </c>
      <c r="J203" s="55" t="e">
        <f t="shared" si="65"/>
        <v>#DIV/0!</v>
      </c>
      <c r="K203" s="54" t="e" cm="1">
        <f t="array" ref="K203">_xlfn.IFS(AND($C$7="Y",B203=C$4),0,AND($C$7="N",B203=C$4),0,TRUE,((D202-D203)-L203+N203))</f>
        <v>#DIV/0!</v>
      </c>
      <c r="L203" s="51" t="e">
        <f t="shared" si="53"/>
        <v>#DIV/0!</v>
      </c>
      <c r="M203" s="51">
        <f t="shared" si="64"/>
        <v>0</v>
      </c>
      <c r="N203" s="51">
        <f t="shared" si="63"/>
        <v>0</v>
      </c>
      <c r="O203" s="48" t="e">
        <f t="shared" si="62"/>
        <v>#DIV/0!</v>
      </c>
      <c r="P203" s="37" t="e">
        <f t="shared" si="54"/>
        <v>#DIV/0!</v>
      </c>
      <c r="Q203" s="56"/>
      <c r="R203" s="56">
        <f t="shared" si="55"/>
        <v>0.12</v>
      </c>
      <c r="S203" s="56">
        <f t="shared" si="56"/>
        <v>1.0596241035318976E-2</v>
      </c>
      <c r="T203" s="56">
        <f t="shared" si="57"/>
        <v>8.0519338057870024E-2</v>
      </c>
      <c r="U203" s="56">
        <f t="shared" si="60"/>
        <v>6.9711104768118703E-3</v>
      </c>
      <c r="V203" s="37" t="e">
        <f t="shared" si="58"/>
        <v>#DIV/0!</v>
      </c>
    </row>
    <row r="204" spans="2:22" x14ac:dyDescent="0.2">
      <c r="B204" s="50">
        <f t="shared" si="49"/>
        <v>193</v>
      </c>
      <c r="C204" s="53" t="e">
        <f t="shared" si="50"/>
        <v>#DIV/0!</v>
      </c>
      <c r="D204" s="47" t="e" cm="1">
        <f t="array" ref="D204">_xlfn.IFS(AND($C$7="Y",B204&lt;C$4),D203,AND(C$7="N",B204&lt;C$4, C$6=0),D203,AND($C$7="Y",B204=C$4),D203+F204-L204+N204-J204,AND($C$7="Y",B204&gt;C$4),(D203-J204)*(1-S204-U204), TRUE, (D203-J204)*(1-S204-U204))</f>
        <v>#DIV/0!</v>
      </c>
      <c r="E204" s="48">
        <f t="shared" si="51"/>
        <v>0</v>
      </c>
      <c r="F204" s="52">
        <f t="shared" si="59"/>
        <v>0</v>
      </c>
      <c r="G204" s="52">
        <f t="shared" si="61"/>
        <v>0</v>
      </c>
      <c r="H204" s="53" t="e">
        <f t="shared" si="52"/>
        <v>#DIV/0!</v>
      </c>
      <c r="I204" s="54" t="e">
        <f t="shared" si="66"/>
        <v>#DIV/0!</v>
      </c>
      <c r="J204" s="55" t="e">
        <f t="shared" si="65"/>
        <v>#DIV/0!</v>
      </c>
      <c r="K204" s="54" t="e" cm="1">
        <f t="array" ref="K204">_xlfn.IFS(AND($C$7="Y",B204=C$4),0,AND($C$7="N",B204=C$4),0,TRUE,((D203-D204)-L204+N204))</f>
        <v>#DIV/0!</v>
      </c>
      <c r="L204" s="51" t="e">
        <f t="shared" si="53"/>
        <v>#DIV/0!</v>
      </c>
      <c r="M204" s="51">
        <f t="shared" si="64"/>
        <v>0</v>
      </c>
      <c r="N204" s="51">
        <f t="shared" si="63"/>
        <v>0</v>
      </c>
      <c r="O204" s="48" t="e">
        <f t="shared" si="62"/>
        <v>#DIV/0!</v>
      </c>
      <c r="P204" s="37" t="e">
        <f t="shared" si="54"/>
        <v>#DIV/0!</v>
      </c>
      <c r="Q204" s="56"/>
      <c r="R204" s="56">
        <f t="shared" si="55"/>
        <v>0.12</v>
      </c>
      <c r="S204" s="56">
        <f t="shared" si="56"/>
        <v>1.0596241035318976E-2</v>
      </c>
      <c r="T204" s="56">
        <f t="shared" si="57"/>
        <v>8.0519338057870024E-2</v>
      </c>
      <c r="U204" s="56">
        <f t="shared" si="60"/>
        <v>6.9711104768118703E-3</v>
      </c>
      <c r="V204" s="37" t="e">
        <f t="shared" si="58"/>
        <v>#DIV/0!</v>
      </c>
    </row>
    <row r="205" spans="2:22" x14ac:dyDescent="0.2">
      <c r="B205" s="50">
        <f t="shared" ref="B205:B220" si="67">B204+1</f>
        <v>194</v>
      </c>
      <c r="C205" s="53" t="e">
        <f t="shared" ref="C205:C216" si="68">IF(B205&lt;C$4,C$1,D204-L205+N205)</f>
        <v>#DIV/0!</v>
      </c>
      <c r="D205" s="47" t="e" cm="1">
        <f t="array" ref="D205">_xlfn.IFS(AND($C$7="Y",B205&lt;C$4),D204,AND(C$7="N",B205&lt;C$4, C$6=0),D204,AND($C$7="Y",B205=C$4),D204+F205-L205+N205-J205,AND($C$7="Y",B205&gt;C$4),(D204-J205)*(1-S205-U205), TRUE, (D204-J205)*(1-S205-U205))</f>
        <v>#DIV/0!</v>
      </c>
      <c r="E205" s="48">
        <f t="shared" ref="E205:E216" si="69">IF(AND($C$7="Y",B205&lt;=$C$4),D204*C$2/12-G205,0)</f>
        <v>0</v>
      </c>
      <c r="F205" s="52">
        <f t="shared" si="59"/>
        <v>0</v>
      </c>
      <c r="G205" s="52">
        <f t="shared" si="61"/>
        <v>0</v>
      </c>
      <c r="H205" s="53" t="e">
        <f t="shared" ref="H205:H216" si="70">IF(AND($B205&lt;=$C$4,C$7="Y"),0,IF(AND(C$7="N",C$4&gt;0,B205&lt;=C$4),0,(D204)*C$2/12/(1-(1/(1+C$2/12))^(C$3+C$4-B205+1))))</f>
        <v>#DIV/0!</v>
      </c>
      <c r="I205" s="54" t="e">
        <f t="shared" si="66"/>
        <v>#DIV/0!</v>
      </c>
      <c r="J205" s="55" t="e">
        <f t="shared" si="65"/>
        <v>#DIV/0!</v>
      </c>
      <c r="K205" s="54" t="e" cm="1">
        <f t="array" ref="K205">_xlfn.IFS(AND($C$7="Y",B205=C$4),0,AND($C$7="N",B205=C$4),0,TRUE,((D204-D205)-L205+N205))</f>
        <v>#DIV/0!</v>
      </c>
      <c r="L205" s="51" t="e">
        <f t="shared" ref="L205:L232" si="71">IF(AND(C$7="Y",$B205&lt;=$C$4),0,IF(AND(C$7="N",C$4&gt;0,B205&lt;=C$4),0,U205*D204))</f>
        <v>#DIV/0!</v>
      </c>
      <c r="M205" s="51">
        <f t="shared" si="64"/>
        <v>0</v>
      </c>
      <c r="N205" s="51">
        <f t="shared" si="63"/>
        <v>0</v>
      </c>
      <c r="O205" s="48" t="e">
        <f t="shared" si="62"/>
        <v>#DIV/0!</v>
      </c>
      <c r="P205" s="37" t="e">
        <f t="shared" ref="P205:P228" si="72">O205*(1/((1+P$9)^(B205/12)))</f>
        <v>#DIV/0!</v>
      </c>
      <c r="Q205" s="56"/>
      <c r="R205" s="56">
        <f t="shared" ref="R205:R216" si="73">R$9</f>
        <v>0.12</v>
      </c>
      <c r="S205" s="56">
        <f t="shared" ref="S205:S216" si="74">1-(1-R205)^(1/12)</f>
        <v>1.0596241035318976E-2</v>
      </c>
      <c r="T205" s="56">
        <f t="shared" ref="T205:T216" si="75">T$9</f>
        <v>8.0519338057870024E-2</v>
      </c>
      <c r="U205" s="56">
        <f t="shared" si="60"/>
        <v>6.9711104768118703E-3</v>
      </c>
      <c r="V205" s="37" t="e">
        <f t="shared" ref="V205:V216" si="76">D204-D205</f>
        <v>#DIV/0!</v>
      </c>
    </row>
    <row r="206" spans="2:22" x14ac:dyDescent="0.2">
      <c r="B206" s="50">
        <f t="shared" si="67"/>
        <v>195</v>
      </c>
      <c r="C206" s="53" t="e">
        <f t="shared" si="68"/>
        <v>#DIV/0!</v>
      </c>
      <c r="D206" s="47" t="e" cm="1">
        <f t="array" ref="D206">_xlfn.IFS(AND($C$7="Y",B206&lt;C$4),D205,AND(C$7="N",B206&lt;C$4, C$6=0),D205,AND($C$7="Y",B206=C$4),D205+F206-L206+N206-J206,AND($C$7="Y",B206&gt;C$4),(D205-J206)*(1-S206-U206), TRUE, (D205-J206)*(1-S206-U206))</f>
        <v>#DIV/0!</v>
      </c>
      <c r="E206" s="48">
        <f t="shared" si="69"/>
        <v>0</v>
      </c>
      <c r="F206" s="52">
        <f t="shared" ref="F206:F216" si="77">IF(AND($C$7="Y",B206&lt;=C$4),E206+F205,0)</f>
        <v>0</v>
      </c>
      <c r="G206" s="52">
        <f t="shared" si="61"/>
        <v>0</v>
      </c>
      <c r="H206" s="53" t="e">
        <f t="shared" si="70"/>
        <v>#DIV/0!</v>
      </c>
      <c r="I206" s="54" t="e">
        <f t="shared" si="66"/>
        <v>#DIV/0!</v>
      </c>
      <c r="J206" s="55" t="e">
        <f t="shared" si="65"/>
        <v>#DIV/0!</v>
      </c>
      <c r="K206" s="54" t="e" cm="1">
        <f t="array" ref="K206">_xlfn.IFS(AND($C$7="Y",B206=C$4),0,AND($C$7="N",B206=C$4),0,TRUE,((D205-D206)-L206+N206))</f>
        <v>#DIV/0!</v>
      </c>
      <c r="L206" s="51" t="e">
        <f t="shared" si="71"/>
        <v>#DIV/0!</v>
      </c>
      <c r="M206" s="51">
        <f t="shared" si="64"/>
        <v>0</v>
      </c>
      <c r="N206" s="51">
        <f t="shared" si="63"/>
        <v>0</v>
      </c>
      <c r="O206" s="48" t="e">
        <f t="shared" si="62"/>
        <v>#DIV/0!</v>
      </c>
      <c r="P206" s="37" t="e">
        <f t="shared" si="72"/>
        <v>#DIV/0!</v>
      </c>
      <c r="Q206" s="56"/>
      <c r="R206" s="56">
        <f t="shared" si="73"/>
        <v>0.12</v>
      </c>
      <c r="S206" s="56">
        <f t="shared" si="74"/>
        <v>1.0596241035318976E-2</v>
      </c>
      <c r="T206" s="56">
        <f t="shared" si="75"/>
        <v>8.0519338057870024E-2</v>
      </c>
      <c r="U206" s="56">
        <f t="shared" ref="U206:U216" si="78">1-(1-T206)^(1/12)</f>
        <v>6.9711104768118703E-3</v>
      </c>
      <c r="V206" s="37" t="e">
        <f t="shared" si="76"/>
        <v>#DIV/0!</v>
      </c>
    </row>
    <row r="207" spans="2:22" x14ac:dyDescent="0.2">
      <c r="B207" s="50">
        <f t="shared" si="67"/>
        <v>196</v>
      </c>
      <c r="C207" s="53" t="e">
        <f t="shared" si="68"/>
        <v>#DIV/0!</v>
      </c>
      <c r="D207" s="47" t="e" cm="1">
        <f t="array" ref="D207">_xlfn.IFS(AND($C$7="Y",B207&lt;C$4),D206,AND(C$7="N",B207&lt;C$4, C$6=0),D206,AND($C$7="Y",B207=C$4),D206+F207-L207+N207-J207,AND($C$7="Y",B207&gt;C$4),(D206-J207)*(1-S207-U207), TRUE, (D206-J207)*(1-S207-U207))</f>
        <v>#DIV/0!</v>
      </c>
      <c r="E207" s="48">
        <f t="shared" si="69"/>
        <v>0</v>
      </c>
      <c r="F207" s="52">
        <f t="shared" si="77"/>
        <v>0</v>
      </c>
      <c r="G207" s="52">
        <f t="shared" ref="G207:G216" si="79">IF($B207&lt;=$C$4,C$6,0)</f>
        <v>0</v>
      </c>
      <c r="H207" s="53" t="e">
        <f t="shared" si="70"/>
        <v>#DIV/0!</v>
      </c>
      <c r="I207" s="54" t="e">
        <f t="shared" si="66"/>
        <v>#DIV/0!</v>
      </c>
      <c r="J207" s="55" t="e">
        <f t="shared" si="65"/>
        <v>#DIV/0!</v>
      </c>
      <c r="K207" s="54" t="e" cm="1">
        <f t="array" ref="K207">_xlfn.IFS(AND($C$7="Y",B207=C$4),0,AND($C$7="N",B207=C$4),0,TRUE,((D206-D207)-L207+N207))</f>
        <v>#DIV/0!</v>
      </c>
      <c r="L207" s="51" t="e">
        <f t="shared" si="71"/>
        <v>#DIV/0!</v>
      </c>
      <c r="M207" s="51">
        <f t="shared" si="64"/>
        <v>0</v>
      </c>
      <c r="N207" s="51">
        <f t="shared" si="63"/>
        <v>0</v>
      </c>
      <c r="O207" s="48" t="e">
        <f t="shared" si="62"/>
        <v>#DIV/0!</v>
      </c>
      <c r="P207" s="37" t="e">
        <f t="shared" si="72"/>
        <v>#DIV/0!</v>
      </c>
      <c r="Q207" s="56"/>
      <c r="R207" s="56">
        <f t="shared" si="73"/>
        <v>0.12</v>
      </c>
      <c r="S207" s="56">
        <f t="shared" si="74"/>
        <v>1.0596241035318976E-2</v>
      </c>
      <c r="T207" s="56">
        <f t="shared" si="75"/>
        <v>8.0519338057870024E-2</v>
      </c>
      <c r="U207" s="56">
        <f t="shared" si="78"/>
        <v>6.9711104768118703E-3</v>
      </c>
      <c r="V207" s="37" t="e">
        <f t="shared" si="76"/>
        <v>#DIV/0!</v>
      </c>
    </row>
    <row r="208" spans="2:22" x14ac:dyDescent="0.2">
      <c r="B208" s="50">
        <f t="shared" si="67"/>
        <v>197</v>
      </c>
      <c r="C208" s="53" t="e">
        <f t="shared" si="68"/>
        <v>#DIV/0!</v>
      </c>
      <c r="D208" s="47" t="e" cm="1">
        <f t="array" ref="D208">_xlfn.IFS(AND($C$7="Y",B208&lt;C$4),D207,AND(C$7="N",B208&lt;C$4, C$6=0),D207,AND($C$7="Y",B208=C$4),D207+F208-L208+N208-J208,AND($C$7="Y",B208&gt;C$4),(D207-J208)*(1-S208-U208), TRUE, (D207-J208)*(1-S208-U208))</f>
        <v>#DIV/0!</v>
      </c>
      <c r="E208" s="48">
        <f t="shared" si="69"/>
        <v>0</v>
      </c>
      <c r="F208" s="52">
        <f t="shared" si="77"/>
        <v>0</v>
      </c>
      <c r="G208" s="52">
        <f t="shared" si="79"/>
        <v>0</v>
      </c>
      <c r="H208" s="53" t="e">
        <f t="shared" si="70"/>
        <v>#DIV/0!</v>
      </c>
      <c r="I208" s="54" t="e">
        <f t="shared" si="66"/>
        <v>#DIV/0!</v>
      </c>
      <c r="J208" s="55" t="e">
        <f t="shared" si="65"/>
        <v>#DIV/0!</v>
      </c>
      <c r="K208" s="54" t="e" cm="1">
        <f t="array" ref="K208">_xlfn.IFS(AND($C$7="Y",B208=C$4),0,AND($C$7="N",B208=C$4),0,TRUE,((D207-D208)-L208+N208))</f>
        <v>#DIV/0!</v>
      </c>
      <c r="L208" s="51" t="e">
        <f t="shared" si="71"/>
        <v>#DIV/0!</v>
      </c>
      <c r="M208" s="51">
        <f t="shared" si="64"/>
        <v>0</v>
      </c>
      <c r="N208" s="51">
        <f t="shared" si="63"/>
        <v>0</v>
      </c>
      <c r="O208" s="48" t="e">
        <f t="shared" si="62"/>
        <v>#DIV/0!</v>
      </c>
      <c r="P208" s="37" t="e">
        <f t="shared" si="72"/>
        <v>#DIV/0!</v>
      </c>
      <c r="Q208" s="56"/>
      <c r="R208" s="56">
        <f t="shared" si="73"/>
        <v>0.12</v>
      </c>
      <c r="S208" s="56">
        <f t="shared" si="74"/>
        <v>1.0596241035318976E-2</v>
      </c>
      <c r="T208" s="56">
        <f t="shared" si="75"/>
        <v>8.0519338057870024E-2</v>
      </c>
      <c r="U208" s="56">
        <f t="shared" si="78"/>
        <v>6.9711104768118703E-3</v>
      </c>
      <c r="V208" s="37" t="e">
        <f t="shared" si="76"/>
        <v>#DIV/0!</v>
      </c>
    </row>
    <row r="209" spans="2:22" x14ac:dyDescent="0.2">
      <c r="B209" s="50">
        <f t="shared" si="67"/>
        <v>198</v>
      </c>
      <c r="C209" s="53" t="e">
        <f t="shared" si="68"/>
        <v>#DIV/0!</v>
      </c>
      <c r="D209" s="47" t="e" cm="1">
        <f t="array" ref="D209">_xlfn.IFS(AND($C$7="Y",B209&lt;C$4),D208,AND(C$7="N",B209&lt;C$4, C$6=0),D208,AND($C$7="Y",B209=C$4),D208+F209-L209+N209-J209,AND($C$7="Y",B209&gt;C$4),(D208-J209)*(1-S209-U209), TRUE, (D208-J209)*(1-S209-U209))</f>
        <v>#DIV/0!</v>
      </c>
      <c r="E209" s="48">
        <f t="shared" si="69"/>
        <v>0</v>
      </c>
      <c r="F209" s="52">
        <f t="shared" si="77"/>
        <v>0</v>
      </c>
      <c r="G209" s="52">
        <f t="shared" si="79"/>
        <v>0</v>
      </c>
      <c r="H209" s="53" t="e">
        <f t="shared" si="70"/>
        <v>#DIV/0!</v>
      </c>
      <c r="I209" s="54" t="e">
        <f t="shared" si="66"/>
        <v>#DIV/0!</v>
      </c>
      <c r="J209" s="55" t="e">
        <f t="shared" si="65"/>
        <v>#DIV/0!</v>
      </c>
      <c r="K209" s="54" t="e" cm="1">
        <f t="array" ref="K209">_xlfn.IFS(AND($C$7="Y",B209=C$4),0,AND($C$7="N",B209=C$4),0,TRUE,((D208-D209)-L209+N209))</f>
        <v>#DIV/0!</v>
      </c>
      <c r="L209" s="51" t="e">
        <f t="shared" si="71"/>
        <v>#DIV/0!</v>
      </c>
      <c r="M209" s="51">
        <f t="shared" si="64"/>
        <v>0</v>
      </c>
      <c r="N209" s="51">
        <f t="shared" si="63"/>
        <v>0</v>
      </c>
      <c r="O209" s="48" t="e">
        <f t="shared" si="62"/>
        <v>#DIV/0!</v>
      </c>
      <c r="P209" s="37" t="e">
        <f t="shared" si="72"/>
        <v>#DIV/0!</v>
      </c>
      <c r="Q209" s="56"/>
      <c r="R209" s="56">
        <f t="shared" si="73"/>
        <v>0.12</v>
      </c>
      <c r="S209" s="56">
        <f t="shared" si="74"/>
        <v>1.0596241035318976E-2</v>
      </c>
      <c r="T209" s="56">
        <f t="shared" si="75"/>
        <v>8.0519338057870024E-2</v>
      </c>
      <c r="U209" s="56">
        <f t="shared" si="78"/>
        <v>6.9711104768118703E-3</v>
      </c>
      <c r="V209" s="37" t="e">
        <f t="shared" si="76"/>
        <v>#DIV/0!</v>
      </c>
    </row>
    <row r="210" spans="2:22" x14ac:dyDescent="0.2">
      <c r="B210" s="50">
        <f t="shared" si="67"/>
        <v>199</v>
      </c>
      <c r="C210" s="53" t="e">
        <f t="shared" si="68"/>
        <v>#DIV/0!</v>
      </c>
      <c r="D210" s="47" t="e" cm="1">
        <f t="array" ref="D210">_xlfn.IFS(AND($C$7="Y",B210&lt;C$4),D209,AND(C$7="N",B210&lt;C$4, C$6=0),D209,AND($C$7="Y",B210=C$4),D209+F210-L210+N210-J210,AND($C$7="Y",B210&gt;C$4),(D209-J210)*(1-S210-U210), TRUE, (D209-J210)*(1-S210-U210))</f>
        <v>#DIV/0!</v>
      </c>
      <c r="E210" s="48">
        <f t="shared" si="69"/>
        <v>0</v>
      </c>
      <c r="F210" s="52">
        <f t="shared" si="77"/>
        <v>0</v>
      </c>
      <c r="G210" s="52">
        <f t="shared" si="79"/>
        <v>0</v>
      </c>
      <c r="H210" s="53" t="e">
        <f t="shared" si="70"/>
        <v>#DIV/0!</v>
      </c>
      <c r="I210" s="54" t="e">
        <f t="shared" si="66"/>
        <v>#DIV/0!</v>
      </c>
      <c r="J210" s="55" t="e">
        <f t="shared" si="65"/>
        <v>#DIV/0!</v>
      </c>
      <c r="K210" s="54" t="e" cm="1">
        <f t="array" ref="K210">_xlfn.IFS(AND($C$7="Y",B210=C$4),0,AND($C$7="N",B210=C$4),0,TRUE,((D209-D210)-L210+N210))</f>
        <v>#DIV/0!</v>
      </c>
      <c r="L210" s="51" t="e">
        <f t="shared" si="71"/>
        <v>#DIV/0!</v>
      </c>
      <c r="M210" s="51">
        <f t="shared" si="64"/>
        <v>0</v>
      </c>
      <c r="N210" s="51">
        <f t="shared" si="63"/>
        <v>0</v>
      </c>
      <c r="O210" s="48" t="e">
        <f t="shared" si="62"/>
        <v>#DIV/0!</v>
      </c>
      <c r="P210" s="37" t="e">
        <f t="shared" si="72"/>
        <v>#DIV/0!</v>
      </c>
      <c r="Q210" s="56"/>
      <c r="R210" s="56">
        <f t="shared" si="73"/>
        <v>0.12</v>
      </c>
      <c r="S210" s="56">
        <f t="shared" si="74"/>
        <v>1.0596241035318976E-2</v>
      </c>
      <c r="T210" s="56">
        <f t="shared" si="75"/>
        <v>8.0519338057870024E-2</v>
      </c>
      <c r="U210" s="56">
        <f t="shared" si="78"/>
        <v>6.9711104768118703E-3</v>
      </c>
      <c r="V210" s="37" t="e">
        <f t="shared" si="76"/>
        <v>#DIV/0!</v>
      </c>
    </row>
    <row r="211" spans="2:22" x14ac:dyDescent="0.2">
      <c r="B211" s="50">
        <f t="shared" si="67"/>
        <v>200</v>
      </c>
      <c r="C211" s="53" t="e">
        <f t="shared" si="68"/>
        <v>#DIV/0!</v>
      </c>
      <c r="D211" s="47" t="e" cm="1">
        <f t="array" ref="D211">_xlfn.IFS(AND($C$7="Y",B211&lt;C$4),D210,AND(C$7="N",B211&lt;C$4, C$6=0),D210,AND($C$7="Y",B211=C$4),D210+F211-L211+N211-J211,AND($C$7="Y",B211&gt;C$4),(D210-J211)*(1-S211-U211), TRUE, (D210-J211)*(1-S211-U211))</f>
        <v>#DIV/0!</v>
      </c>
      <c r="E211" s="48">
        <f t="shared" si="69"/>
        <v>0</v>
      </c>
      <c r="F211" s="52">
        <f t="shared" si="77"/>
        <v>0</v>
      </c>
      <c r="G211" s="52">
        <f t="shared" si="79"/>
        <v>0</v>
      </c>
      <c r="H211" s="53" t="e">
        <f t="shared" si="70"/>
        <v>#DIV/0!</v>
      </c>
      <c r="I211" s="54" t="e">
        <f t="shared" si="66"/>
        <v>#DIV/0!</v>
      </c>
      <c r="J211" s="55" t="e">
        <f t="shared" si="65"/>
        <v>#DIV/0!</v>
      </c>
      <c r="K211" s="54" t="e" cm="1">
        <f t="array" ref="K211">_xlfn.IFS(AND($C$7="Y",B211=C$4),0,AND($C$7="N",B211=C$4),0,TRUE,((D210-D211)-L211+N211))</f>
        <v>#DIV/0!</v>
      </c>
      <c r="L211" s="51" t="e">
        <f t="shared" si="71"/>
        <v>#DIV/0!</v>
      </c>
      <c r="M211" s="51">
        <f t="shared" si="64"/>
        <v>0</v>
      </c>
      <c r="N211" s="51">
        <f t="shared" si="63"/>
        <v>0</v>
      </c>
      <c r="O211" s="48" t="e">
        <f t="shared" si="62"/>
        <v>#DIV/0!</v>
      </c>
      <c r="P211" s="37" t="e">
        <f t="shared" si="72"/>
        <v>#DIV/0!</v>
      </c>
      <c r="Q211" s="56"/>
      <c r="R211" s="56">
        <f t="shared" si="73"/>
        <v>0.12</v>
      </c>
      <c r="S211" s="56">
        <f t="shared" si="74"/>
        <v>1.0596241035318976E-2</v>
      </c>
      <c r="T211" s="56">
        <f t="shared" si="75"/>
        <v>8.0519338057870024E-2</v>
      </c>
      <c r="U211" s="56">
        <f t="shared" si="78"/>
        <v>6.9711104768118703E-3</v>
      </c>
      <c r="V211" s="37" t="e">
        <f t="shared" si="76"/>
        <v>#DIV/0!</v>
      </c>
    </row>
    <row r="212" spans="2:22" x14ac:dyDescent="0.2">
      <c r="B212" s="50">
        <f t="shared" si="67"/>
        <v>201</v>
      </c>
      <c r="C212" s="53" t="e">
        <f t="shared" si="68"/>
        <v>#DIV/0!</v>
      </c>
      <c r="D212" s="47" t="e" cm="1">
        <f t="array" ref="D212">_xlfn.IFS(AND($C$7="Y",B212&lt;C$4),D211,AND(C$7="N",B212&lt;C$4, C$6=0),D211,AND($C$7="Y",B212=C$4),D211+F212-L212+N212-J212,AND($C$7="Y",B212&gt;C$4),(D211-J212)*(1-S212-U212), TRUE, (D211-J212)*(1-S212-U212))</f>
        <v>#DIV/0!</v>
      </c>
      <c r="E212" s="48">
        <f t="shared" si="69"/>
        <v>0</v>
      </c>
      <c r="F212" s="52">
        <f t="shared" si="77"/>
        <v>0</v>
      </c>
      <c r="G212" s="52">
        <f t="shared" si="79"/>
        <v>0</v>
      </c>
      <c r="H212" s="53" t="e">
        <f t="shared" si="70"/>
        <v>#DIV/0!</v>
      </c>
      <c r="I212" s="54" t="e">
        <f t="shared" si="66"/>
        <v>#DIV/0!</v>
      </c>
      <c r="J212" s="55" t="e">
        <f t="shared" si="65"/>
        <v>#DIV/0!</v>
      </c>
      <c r="K212" s="54" t="e" cm="1">
        <f t="array" ref="K212">_xlfn.IFS(AND($C$7="Y",B212=C$4),0,AND($C$7="N",B212=C$4),0,TRUE,((D211-D212)-L212+N212))</f>
        <v>#DIV/0!</v>
      </c>
      <c r="L212" s="51" t="e">
        <f t="shared" si="71"/>
        <v>#DIV/0!</v>
      </c>
      <c r="M212" s="51">
        <f t="shared" si="64"/>
        <v>0</v>
      </c>
      <c r="N212" s="51">
        <f t="shared" si="63"/>
        <v>0</v>
      </c>
      <c r="O212" s="48" t="e">
        <f t="shared" si="62"/>
        <v>#DIV/0!</v>
      </c>
      <c r="P212" s="37" t="e">
        <f t="shared" si="72"/>
        <v>#DIV/0!</v>
      </c>
      <c r="Q212" s="56"/>
      <c r="R212" s="56">
        <f t="shared" si="73"/>
        <v>0.12</v>
      </c>
      <c r="S212" s="56">
        <f t="shared" si="74"/>
        <v>1.0596241035318976E-2</v>
      </c>
      <c r="T212" s="56">
        <f t="shared" si="75"/>
        <v>8.0519338057870024E-2</v>
      </c>
      <c r="U212" s="56">
        <f t="shared" si="78"/>
        <v>6.9711104768118703E-3</v>
      </c>
      <c r="V212" s="37" t="e">
        <f t="shared" si="76"/>
        <v>#DIV/0!</v>
      </c>
    </row>
    <row r="213" spans="2:22" x14ac:dyDescent="0.2">
      <c r="B213" s="50">
        <f t="shared" si="67"/>
        <v>202</v>
      </c>
      <c r="C213" s="53" t="e">
        <f t="shared" si="68"/>
        <v>#DIV/0!</v>
      </c>
      <c r="D213" s="47" t="e" cm="1">
        <f t="array" ref="D213">_xlfn.IFS(AND($C$7="Y",B213&lt;C$4),D212,AND(C$7="N",B213&lt;C$4, C$6=0),D212,AND($C$7="Y",B213=C$4),D212+F213-L213+N213-J213,AND($C$7="Y",B213&gt;C$4),(D212-J213)*(1-S213-U213), TRUE, (D212-J213)*(1-S213-U213))</f>
        <v>#DIV/0!</v>
      </c>
      <c r="E213" s="48">
        <f t="shared" si="69"/>
        <v>0</v>
      </c>
      <c r="F213" s="52">
        <f t="shared" si="77"/>
        <v>0</v>
      </c>
      <c r="G213" s="52">
        <f t="shared" si="79"/>
        <v>0</v>
      </c>
      <c r="H213" s="53" t="e">
        <f t="shared" si="70"/>
        <v>#DIV/0!</v>
      </c>
      <c r="I213" s="54" t="e">
        <f t="shared" si="66"/>
        <v>#DIV/0!</v>
      </c>
      <c r="J213" s="55" t="e">
        <f t="shared" si="65"/>
        <v>#DIV/0!</v>
      </c>
      <c r="K213" s="54" t="e" cm="1">
        <f t="array" ref="K213">_xlfn.IFS(AND($C$7="Y",B213=C$4),0,AND($C$7="N",B213=C$4),0,TRUE,((D212-D213)-L213+N213))</f>
        <v>#DIV/0!</v>
      </c>
      <c r="L213" s="51" t="e">
        <f t="shared" si="71"/>
        <v>#DIV/0!</v>
      </c>
      <c r="M213" s="51">
        <f t="shared" si="64"/>
        <v>0</v>
      </c>
      <c r="N213" s="51">
        <f t="shared" si="63"/>
        <v>0</v>
      </c>
      <c r="O213" s="48" t="e">
        <f t="shared" si="62"/>
        <v>#DIV/0!</v>
      </c>
      <c r="P213" s="37" t="e">
        <f t="shared" si="72"/>
        <v>#DIV/0!</v>
      </c>
      <c r="Q213" s="56"/>
      <c r="R213" s="56">
        <f t="shared" si="73"/>
        <v>0.12</v>
      </c>
      <c r="S213" s="56">
        <f t="shared" si="74"/>
        <v>1.0596241035318976E-2</v>
      </c>
      <c r="T213" s="56">
        <f t="shared" si="75"/>
        <v>8.0519338057870024E-2</v>
      </c>
      <c r="U213" s="56">
        <f t="shared" si="78"/>
        <v>6.9711104768118703E-3</v>
      </c>
      <c r="V213" s="37" t="e">
        <f t="shared" si="76"/>
        <v>#DIV/0!</v>
      </c>
    </row>
    <row r="214" spans="2:22" x14ac:dyDescent="0.2">
      <c r="B214" s="50">
        <f t="shared" si="67"/>
        <v>203</v>
      </c>
      <c r="C214" s="53" t="e">
        <f t="shared" si="68"/>
        <v>#DIV/0!</v>
      </c>
      <c r="D214" s="47" t="e" cm="1">
        <f t="array" ref="D214">_xlfn.IFS(AND($C$7="Y",B214&lt;C$4),D213,AND(C$7="N",B214&lt;C$4, C$6=0),D213,AND($C$7="Y",B214=C$4),D213+F214-L214+N214-J214,AND($C$7="Y",B214&gt;C$4),(D213-J214)*(1-S214-U214), TRUE, (D213-J214)*(1-S214-U214))</f>
        <v>#DIV/0!</v>
      </c>
      <c r="E214" s="48">
        <f t="shared" si="69"/>
        <v>0</v>
      </c>
      <c r="F214" s="52">
        <f t="shared" si="77"/>
        <v>0</v>
      </c>
      <c r="G214" s="52">
        <f t="shared" si="79"/>
        <v>0</v>
      </c>
      <c r="H214" s="53" t="e">
        <f t="shared" si="70"/>
        <v>#DIV/0!</v>
      </c>
      <c r="I214" s="54" t="e">
        <f t="shared" si="66"/>
        <v>#DIV/0!</v>
      </c>
      <c r="J214" s="55" t="e">
        <f t="shared" si="65"/>
        <v>#DIV/0!</v>
      </c>
      <c r="K214" s="54" t="e" cm="1">
        <f t="array" ref="K214">_xlfn.IFS(AND($C$7="Y",B214=C$4),0,AND($C$7="N",B214=C$4),0,TRUE,((D213-D214)-L214+N214))</f>
        <v>#DIV/0!</v>
      </c>
      <c r="L214" s="51" t="e">
        <f t="shared" si="71"/>
        <v>#DIV/0!</v>
      </c>
      <c r="M214" s="51">
        <f t="shared" si="64"/>
        <v>0</v>
      </c>
      <c r="N214" s="51">
        <f t="shared" si="63"/>
        <v>0</v>
      </c>
      <c r="O214" s="48" t="e">
        <f t="shared" si="62"/>
        <v>#DIV/0!</v>
      </c>
      <c r="P214" s="37" t="e">
        <f t="shared" si="72"/>
        <v>#DIV/0!</v>
      </c>
      <c r="Q214" s="56"/>
      <c r="R214" s="56">
        <f t="shared" si="73"/>
        <v>0.12</v>
      </c>
      <c r="S214" s="56">
        <f t="shared" si="74"/>
        <v>1.0596241035318976E-2</v>
      </c>
      <c r="T214" s="56">
        <f t="shared" si="75"/>
        <v>8.0519338057870024E-2</v>
      </c>
      <c r="U214" s="56">
        <f t="shared" si="78"/>
        <v>6.9711104768118703E-3</v>
      </c>
      <c r="V214" s="37" t="e">
        <f t="shared" si="76"/>
        <v>#DIV/0!</v>
      </c>
    </row>
    <row r="215" spans="2:22" x14ac:dyDescent="0.2">
      <c r="B215" s="50">
        <f t="shared" si="67"/>
        <v>204</v>
      </c>
      <c r="C215" s="53" t="e">
        <f t="shared" si="68"/>
        <v>#DIV/0!</v>
      </c>
      <c r="D215" s="47" t="e" cm="1">
        <f t="array" ref="D215">_xlfn.IFS(AND($C$7="Y",B215&lt;C$4),D214,AND(C$7="N",B215&lt;C$4, C$6=0),D214,AND($C$7="Y",B215=C$4),D214+F215-L215+N215-J215,AND($C$7="Y",B215&gt;C$4),(D214-J215)*(1-S215-U215), TRUE, (D214-J215)*(1-S215-U215))</f>
        <v>#DIV/0!</v>
      </c>
      <c r="E215" s="48">
        <f t="shared" si="69"/>
        <v>0</v>
      </c>
      <c r="F215" s="52">
        <f t="shared" si="77"/>
        <v>0</v>
      </c>
      <c r="G215" s="52">
        <f t="shared" si="79"/>
        <v>0</v>
      </c>
      <c r="H215" s="53" t="e">
        <f t="shared" si="70"/>
        <v>#DIV/0!</v>
      </c>
      <c r="I215" s="54" t="e">
        <f t="shared" si="66"/>
        <v>#DIV/0!</v>
      </c>
      <c r="J215" s="55" t="e">
        <f t="shared" si="65"/>
        <v>#DIV/0!</v>
      </c>
      <c r="K215" s="54" t="e" cm="1">
        <f t="array" ref="K215">_xlfn.IFS(AND($C$7="Y",B215=C$4),0,AND($C$7="N",B215=C$4),0,TRUE,((D214-D215)-L215+N215))</f>
        <v>#DIV/0!</v>
      </c>
      <c r="L215" s="51" t="e">
        <f t="shared" si="71"/>
        <v>#DIV/0!</v>
      </c>
      <c r="M215" s="51">
        <f t="shared" si="64"/>
        <v>0</v>
      </c>
      <c r="N215" s="51">
        <f t="shared" si="63"/>
        <v>0</v>
      </c>
      <c r="O215" s="48" t="e">
        <f t="shared" si="62"/>
        <v>#DIV/0!</v>
      </c>
      <c r="P215" s="37" t="e">
        <f t="shared" si="72"/>
        <v>#DIV/0!</v>
      </c>
      <c r="Q215" s="56"/>
      <c r="R215" s="56">
        <f t="shared" si="73"/>
        <v>0.12</v>
      </c>
      <c r="S215" s="56">
        <f t="shared" si="74"/>
        <v>1.0596241035318976E-2</v>
      </c>
      <c r="T215" s="56">
        <f t="shared" si="75"/>
        <v>8.0519338057870024E-2</v>
      </c>
      <c r="U215" s="56">
        <f t="shared" si="78"/>
        <v>6.9711104768118703E-3</v>
      </c>
      <c r="V215" s="37" t="e">
        <f t="shared" si="76"/>
        <v>#DIV/0!</v>
      </c>
    </row>
    <row r="216" spans="2:22" x14ac:dyDescent="0.2">
      <c r="B216" s="50">
        <f t="shared" si="67"/>
        <v>205</v>
      </c>
      <c r="C216" s="53" t="e">
        <f t="shared" si="68"/>
        <v>#DIV/0!</v>
      </c>
      <c r="D216" s="47" t="e" cm="1">
        <f t="array" ref="D216">_xlfn.IFS(AND($C$7="Y",B216&lt;C$4),D215,AND(C$7="N",B216&lt;C$4, C$6=0),D215,AND($C$7="Y",B216=C$4),D215+F216-L216+N216-J216,AND($C$7="Y",B216&gt;C$4),(D215-J216)*(1-S216-U216), TRUE, (D215-J216)*(1-S216-U216))</f>
        <v>#DIV/0!</v>
      </c>
      <c r="E216" s="48">
        <f t="shared" si="69"/>
        <v>0</v>
      </c>
      <c r="F216" s="52">
        <f t="shared" si="77"/>
        <v>0</v>
      </c>
      <c r="G216" s="52">
        <f t="shared" si="79"/>
        <v>0</v>
      </c>
      <c r="H216" s="53" t="e">
        <f t="shared" si="70"/>
        <v>#DIV/0!</v>
      </c>
      <c r="I216" s="54" t="e">
        <f t="shared" si="66"/>
        <v>#DIV/0!</v>
      </c>
      <c r="J216" s="55" t="e">
        <f t="shared" si="65"/>
        <v>#DIV/0!</v>
      </c>
      <c r="K216" s="54" t="e" cm="1">
        <f t="array" ref="K216">_xlfn.IFS(AND($C$7="Y",B216=C$4),0,AND($C$7="N",B216=C$4),0,TRUE,((D215-D216)-L216+N216))</f>
        <v>#DIV/0!</v>
      </c>
      <c r="L216" s="51" t="e">
        <f t="shared" si="71"/>
        <v>#DIV/0!</v>
      </c>
      <c r="M216" s="51">
        <f t="shared" si="64"/>
        <v>0</v>
      </c>
      <c r="N216" s="51">
        <f t="shared" si="63"/>
        <v>0</v>
      </c>
      <c r="O216" s="48" t="e">
        <f t="shared" si="62"/>
        <v>#DIV/0!</v>
      </c>
      <c r="P216" s="37" t="e">
        <f t="shared" si="72"/>
        <v>#DIV/0!</v>
      </c>
      <c r="Q216" s="56"/>
      <c r="R216" s="56">
        <f t="shared" si="73"/>
        <v>0.12</v>
      </c>
      <c r="S216" s="56">
        <f t="shared" si="74"/>
        <v>1.0596241035318976E-2</v>
      </c>
      <c r="T216" s="56">
        <f t="shared" si="75"/>
        <v>8.0519338057870024E-2</v>
      </c>
      <c r="U216" s="56">
        <f t="shared" si="78"/>
        <v>6.9711104768118703E-3</v>
      </c>
      <c r="V216" s="37" t="e">
        <f t="shared" si="76"/>
        <v>#DIV/0!</v>
      </c>
    </row>
    <row r="217" spans="2:22" x14ac:dyDescent="0.2">
      <c r="B217" s="50">
        <f t="shared" si="67"/>
        <v>206</v>
      </c>
      <c r="C217" s="51"/>
      <c r="D217" s="46"/>
      <c r="E217" s="81"/>
      <c r="F217" s="52"/>
      <c r="G217" s="52"/>
      <c r="H217" s="53"/>
      <c r="I217" s="53"/>
      <c r="J217" s="53"/>
      <c r="K217" s="54" t="e" cm="1">
        <f t="array" ref="K217">_xlfn.IFS(AND($C$7="Y",B217=C$4),0,AND($C$7="N",B217=C$4),0,TRUE,((D216-D217)-L217+N217))</f>
        <v>#DIV/0!</v>
      </c>
      <c r="L217" s="51" t="e">
        <f t="shared" si="71"/>
        <v>#DIV/0!</v>
      </c>
      <c r="M217" s="51">
        <f t="shared" si="64"/>
        <v>0</v>
      </c>
      <c r="N217" s="51">
        <f t="shared" si="63"/>
        <v>0</v>
      </c>
      <c r="O217" s="48" t="e">
        <f t="shared" si="62"/>
        <v>#DIV/0!</v>
      </c>
      <c r="P217" s="37" t="e">
        <f t="shared" si="72"/>
        <v>#DIV/0!</v>
      </c>
      <c r="Q217" s="56"/>
      <c r="R217" s="56"/>
      <c r="S217" s="56"/>
    </row>
    <row r="218" spans="2:22" x14ac:dyDescent="0.2">
      <c r="B218" s="50">
        <f t="shared" si="67"/>
        <v>207</v>
      </c>
      <c r="C218" s="51"/>
      <c r="D218" s="46"/>
      <c r="E218" s="81"/>
      <c r="F218" s="52"/>
      <c r="G218" s="59"/>
      <c r="H218" s="53"/>
      <c r="I218" s="53">
        <f t="shared" ref="I218:I232" si="80">IF($B217&lt;=25,0,C$2*D217/12)</f>
        <v>0</v>
      </c>
      <c r="J218" s="53">
        <f t="shared" ref="J218:J232" si="81">H218-I218</f>
        <v>0</v>
      </c>
      <c r="K218" s="54" cm="1">
        <f t="array" ref="K218">_xlfn.IFS(AND($C$7="Y",B218=C$4),0,AND($C$7="N",B218=C$4),0,TRUE,((D217-D218)-L218+N218))</f>
        <v>0</v>
      </c>
      <c r="L218" s="51">
        <f t="shared" si="71"/>
        <v>0</v>
      </c>
      <c r="M218" s="51">
        <f t="shared" si="64"/>
        <v>0</v>
      </c>
      <c r="N218" s="51">
        <f t="shared" si="63"/>
        <v>0</v>
      </c>
      <c r="O218" s="48">
        <f t="shared" si="62"/>
        <v>0</v>
      </c>
      <c r="P218" s="37">
        <f t="shared" si="72"/>
        <v>0</v>
      </c>
      <c r="Q218" s="56"/>
      <c r="R218" s="56" t="e">
        <f>INDEX(#REF!,MATCH(#REF!,#REF!,0),MATCH(ActiveCDR,#REF!,0))%</f>
        <v>#REF!</v>
      </c>
      <c r="S218" s="56" t="e">
        <f>1-(1-R218)^(1/12)</f>
        <v>#REF!</v>
      </c>
    </row>
    <row r="219" spans="2:22" x14ac:dyDescent="0.2">
      <c r="B219" s="50">
        <f t="shared" si="67"/>
        <v>208</v>
      </c>
      <c r="C219" s="51"/>
      <c r="D219" s="46"/>
      <c r="E219" s="81"/>
      <c r="F219" s="52"/>
      <c r="G219" s="59"/>
      <c r="H219" s="53"/>
      <c r="I219" s="53">
        <f t="shared" si="80"/>
        <v>0</v>
      </c>
      <c r="J219" s="53">
        <f t="shared" si="81"/>
        <v>0</v>
      </c>
      <c r="K219" s="54" cm="1">
        <f t="array" ref="K219">_xlfn.IFS(AND($C$7="Y",B219=C$4),0,AND($C$7="N",B219=C$4),0,TRUE,((D218-D219)-L219+N219))</f>
        <v>0</v>
      </c>
      <c r="L219" s="51">
        <f t="shared" si="71"/>
        <v>0</v>
      </c>
      <c r="M219" s="51">
        <f t="shared" si="64"/>
        <v>0</v>
      </c>
      <c r="N219" s="51">
        <f t="shared" si="63"/>
        <v>0</v>
      </c>
      <c r="O219" s="48">
        <f t="shared" ref="O219:O232" si="82">K219+I219+G219</f>
        <v>0</v>
      </c>
      <c r="P219" s="37">
        <f t="shared" si="72"/>
        <v>0</v>
      </c>
      <c r="Q219" s="56"/>
      <c r="R219" s="56" t="e">
        <f>INDEX(#REF!,MATCH(#REF!,#REF!,0),MATCH(ActiveCDR,#REF!,0))%</f>
        <v>#REF!</v>
      </c>
      <c r="S219" s="56" t="e">
        <f t="shared" ref="S219:S221" si="83">1-(1-R219)^(1/12)</f>
        <v>#REF!</v>
      </c>
    </row>
    <row r="220" spans="2:22" x14ac:dyDescent="0.2">
      <c r="B220" s="50">
        <f t="shared" si="67"/>
        <v>209</v>
      </c>
      <c r="C220" s="51"/>
      <c r="D220" s="46"/>
      <c r="E220" s="81"/>
      <c r="F220" s="52"/>
      <c r="G220" s="59"/>
      <c r="H220" s="53"/>
      <c r="I220" s="53">
        <f t="shared" si="80"/>
        <v>0</v>
      </c>
      <c r="J220" s="53">
        <f t="shared" si="81"/>
        <v>0</v>
      </c>
      <c r="K220" s="54" cm="1">
        <f t="array" ref="K220">_xlfn.IFS(AND($C$7="Y",B220=C$4),0,AND($C$7="N",B220=C$4),0,TRUE,((D219-D220)-L220+N220))</f>
        <v>0</v>
      </c>
      <c r="L220" s="51">
        <f t="shared" si="71"/>
        <v>0</v>
      </c>
      <c r="M220" s="51">
        <f t="shared" si="64"/>
        <v>0</v>
      </c>
      <c r="N220" s="51">
        <f t="shared" si="63"/>
        <v>0</v>
      </c>
      <c r="O220" s="48">
        <f t="shared" si="82"/>
        <v>0</v>
      </c>
      <c r="P220" s="37">
        <f t="shared" si="72"/>
        <v>0</v>
      </c>
      <c r="Q220" s="56"/>
      <c r="R220" s="56" t="e">
        <f>INDEX(#REF!,MATCH(#REF!,#REF!,0),MATCH(ActiveCDR,#REF!,0))%</f>
        <v>#REF!</v>
      </c>
      <c r="S220" s="56" t="e">
        <f t="shared" si="83"/>
        <v>#REF!</v>
      </c>
    </row>
    <row r="221" spans="2:22" x14ac:dyDescent="0.2">
      <c r="B221" s="50"/>
      <c r="C221" s="51"/>
      <c r="D221" s="46"/>
      <c r="E221" s="81"/>
      <c r="F221" s="52"/>
      <c r="G221" s="59"/>
      <c r="H221" s="53"/>
      <c r="I221" s="53">
        <f t="shared" si="80"/>
        <v>0</v>
      </c>
      <c r="J221" s="53">
        <f t="shared" si="81"/>
        <v>0</v>
      </c>
      <c r="K221" s="54" cm="1">
        <f t="array" ref="K221">_xlfn.IFS(AND($C$7="Y",B221=C$4),0,AND($C$7="N",B221=C$4),0,TRUE,((D220-D221)-L221+N221))</f>
        <v>0</v>
      </c>
      <c r="L221" s="51">
        <f t="shared" si="71"/>
        <v>0</v>
      </c>
      <c r="M221" s="51">
        <f t="shared" si="64"/>
        <v>0</v>
      </c>
      <c r="N221" s="51">
        <f t="shared" si="63"/>
        <v>0</v>
      </c>
      <c r="O221" s="48">
        <f t="shared" si="82"/>
        <v>0</v>
      </c>
      <c r="P221" s="37">
        <f t="shared" si="72"/>
        <v>0</v>
      </c>
      <c r="Q221" s="56"/>
      <c r="R221" s="56" t="e">
        <f>INDEX(#REF!,MATCH(#REF!,#REF!,0),MATCH(ActiveCDR,#REF!,0))%</f>
        <v>#REF!</v>
      </c>
      <c r="S221" s="56" t="e">
        <f t="shared" si="83"/>
        <v>#REF!</v>
      </c>
    </row>
    <row r="222" spans="2:22" x14ac:dyDescent="0.2">
      <c r="B222" s="50"/>
      <c r="C222" s="51"/>
      <c r="D222" s="46"/>
      <c r="E222" s="81"/>
      <c r="F222" s="52"/>
      <c r="G222" s="59"/>
      <c r="H222" s="53"/>
      <c r="I222" s="53">
        <f t="shared" si="80"/>
        <v>0</v>
      </c>
      <c r="J222" s="53">
        <f t="shared" si="81"/>
        <v>0</v>
      </c>
      <c r="K222" s="54" cm="1">
        <f t="array" ref="K222">_xlfn.IFS(AND($C$7="Y",B222=C$4),0,AND($C$7="N",B222=C$4),0,TRUE,((D221-D222)-L222+N222))</f>
        <v>0</v>
      </c>
      <c r="L222" s="51">
        <f t="shared" si="71"/>
        <v>0</v>
      </c>
      <c r="M222" s="51">
        <f t="shared" si="64"/>
        <v>0</v>
      </c>
      <c r="N222" s="51">
        <f t="shared" si="63"/>
        <v>0</v>
      </c>
      <c r="O222" s="48">
        <f t="shared" si="82"/>
        <v>0</v>
      </c>
      <c r="P222" s="37">
        <f t="shared" si="72"/>
        <v>0</v>
      </c>
      <c r="Q222" s="56"/>
      <c r="R222" s="56"/>
      <c r="S222" s="56"/>
    </row>
    <row r="223" spans="2:22" x14ac:dyDescent="0.2">
      <c r="B223" s="50"/>
      <c r="C223" s="51"/>
      <c r="D223" s="46"/>
      <c r="E223" s="81"/>
      <c r="F223" s="52"/>
      <c r="G223" s="59"/>
      <c r="H223" s="53"/>
      <c r="I223" s="53">
        <f t="shared" si="80"/>
        <v>0</v>
      </c>
      <c r="J223" s="53">
        <f t="shared" si="81"/>
        <v>0</v>
      </c>
      <c r="K223" s="54" cm="1">
        <f t="array" ref="K223">_xlfn.IFS(AND($C$7="Y",B223=C$4),0,AND($C$7="N",B223=C$4),0,TRUE,((D222-D223)-L223+N223))</f>
        <v>0</v>
      </c>
      <c r="L223" s="51">
        <f t="shared" si="71"/>
        <v>0</v>
      </c>
      <c r="M223" s="51">
        <f t="shared" si="64"/>
        <v>0</v>
      </c>
      <c r="N223" s="51">
        <f t="shared" si="63"/>
        <v>0</v>
      </c>
      <c r="O223" s="48">
        <f t="shared" si="82"/>
        <v>0</v>
      </c>
      <c r="P223" s="37">
        <f t="shared" si="72"/>
        <v>0</v>
      </c>
      <c r="Q223" s="56"/>
      <c r="R223" s="56"/>
      <c r="S223" s="56"/>
    </row>
    <row r="224" spans="2:22" x14ac:dyDescent="0.2">
      <c r="B224" s="50"/>
      <c r="C224" s="51"/>
      <c r="D224" s="46"/>
      <c r="E224" s="81"/>
      <c r="F224" s="52"/>
      <c r="G224" s="59"/>
      <c r="H224" s="53"/>
      <c r="I224" s="53">
        <f t="shared" si="80"/>
        <v>0</v>
      </c>
      <c r="J224" s="53">
        <f t="shared" si="81"/>
        <v>0</v>
      </c>
      <c r="K224" s="54" cm="1">
        <f t="array" ref="K224">_xlfn.IFS(AND($C$7="Y",B224=C$4),0,AND($C$7="N",B224=C$4),0,TRUE,((D223-D224)-L224+N224))</f>
        <v>0</v>
      </c>
      <c r="L224" s="51">
        <f t="shared" si="71"/>
        <v>0</v>
      </c>
      <c r="M224" s="51">
        <f t="shared" si="64"/>
        <v>0</v>
      </c>
      <c r="N224" s="51">
        <f t="shared" ref="N224:N232" si="84">IFERROR((1-$N$9)*L220,0)</f>
        <v>0</v>
      </c>
      <c r="O224" s="48">
        <f t="shared" si="82"/>
        <v>0</v>
      </c>
      <c r="P224" s="37">
        <f t="shared" si="72"/>
        <v>0</v>
      </c>
      <c r="Q224" s="56"/>
      <c r="R224" s="56"/>
      <c r="S224" s="56"/>
    </row>
    <row r="225" spans="2:19" x14ac:dyDescent="0.2">
      <c r="B225" s="50"/>
      <c r="C225" s="51"/>
      <c r="D225" s="46"/>
      <c r="E225" s="81"/>
      <c r="F225" s="52"/>
      <c r="G225" s="59"/>
      <c r="H225" s="53"/>
      <c r="I225" s="53">
        <f t="shared" si="80"/>
        <v>0</v>
      </c>
      <c r="J225" s="53">
        <f t="shared" si="81"/>
        <v>0</v>
      </c>
      <c r="K225" s="54" cm="1">
        <f t="array" ref="K225">_xlfn.IFS(AND($C$7="Y",B225=C$4),0,AND($C$7="N",B225=C$4),0,TRUE,((D224-D225)-L225+N225))</f>
        <v>0</v>
      </c>
      <c r="L225" s="51">
        <f t="shared" si="71"/>
        <v>0</v>
      </c>
      <c r="M225" s="51">
        <f t="shared" si="64"/>
        <v>0</v>
      </c>
      <c r="N225" s="51">
        <f t="shared" si="84"/>
        <v>0</v>
      </c>
      <c r="O225" s="48">
        <f t="shared" si="82"/>
        <v>0</v>
      </c>
      <c r="P225" s="37">
        <f t="shared" si="72"/>
        <v>0</v>
      </c>
      <c r="Q225" s="56"/>
      <c r="R225" s="56"/>
      <c r="S225" s="56"/>
    </row>
    <row r="226" spans="2:19" x14ac:dyDescent="0.2">
      <c r="B226" s="50"/>
      <c r="C226" s="51"/>
      <c r="D226" s="46"/>
      <c r="E226" s="81"/>
      <c r="F226" s="52"/>
      <c r="G226" s="59"/>
      <c r="H226" s="53"/>
      <c r="I226" s="53">
        <f t="shared" si="80"/>
        <v>0</v>
      </c>
      <c r="J226" s="53">
        <f t="shared" si="81"/>
        <v>0</v>
      </c>
      <c r="K226" s="54" cm="1">
        <f t="array" ref="K226">_xlfn.IFS(AND($C$7="Y",B226=C$4),0,AND($C$7="N",B226=C$4),0,TRUE,((D225-D226)-L226+N226))</f>
        <v>0</v>
      </c>
      <c r="L226" s="51">
        <f t="shared" si="71"/>
        <v>0</v>
      </c>
      <c r="M226" s="51">
        <f t="shared" si="64"/>
        <v>0</v>
      </c>
      <c r="N226" s="51">
        <f t="shared" si="84"/>
        <v>0</v>
      </c>
      <c r="O226" s="48">
        <f t="shared" si="82"/>
        <v>0</v>
      </c>
      <c r="P226" s="37">
        <f t="shared" si="72"/>
        <v>0</v>
      </c>
      <c r="Q226" s="56"/>
      <c r="R226" s="56"/>
      <c r="S226" s="56"/>
    </row>
    <row r="227" spans="2:19" x14ac:dyDescent="0.2">
      <c r="B227" s="50"/>
      <c r="C227" s="51"/>
      <c r="D227" s="46"/>
      <c r="E227" s="81"/>
      <c r="F227" s="52"/>
      <c r="G227" s="59"/>
      <c r="H227" s="53"/>
      <c r="I227" s="53">
        <f t="shared" si="80"/>
        <v>0</v>
      </c>
      <c r="J227" s="53">
        <f t="shared" si="81"/>
        <v>0</v>
      </c>
      <c r="K227" s="54" cm="1">
        <f t="array" ref="K227">_xlfn.IFS(AND($C$7="Y",B227=C$4),0,AND($C$7="N",B227=C$4),0,TRUE,((D226-D227)-L227+N227))</f>
        <v>0</v>
      </c>
      <c r="L227" s="51">
        <f t="shared" si="71"/>
        <v>0</v>
      </c>
      <c r="M227" s="51">
        <f t="shared" si="64"/>
        <v>0</v>
      </c>
      <c r="N227" s="51">
        <f t="shared" si="84"/>
        <v>0</v>
      </c>
      <c r="O227" s="48">
        <f t="shared" si="82"/>
        <v>0</v>
      </c>
      <c r="P227" s="37">
        <f t="shared" si="72"/>
        <v>0</v>
      </c>
      <c r="Q227" s="56"/>
      <c r="R227" s="56"/>
      <c r="S227" s="56"/>
    </row>
    <row r="228" spans="2:19" x14ac:dyDescent="0.2">
      <c r="B228" s="50"/>
      <c r="C228" s="51"/>
      <c r="D228" s="46"/>
      <c r="E228" s="81"/>
      <c r="F228" s="52"/>
      <c r="G228" s="59"/>
      <c r="H228" s="53"/>
      <c r="I228" s="53">
        <f t="shared" si="80"/>
        <v>0</v>
      </c>
      <c r="J228" s="53">
        <f t="shared" si="81"/>
        <v>0</v>
      </c>
      <c r="K228" s="54" cm="1">
        <f t="array" ref="K228">_xlfn.IFS(AND($C$7="Y",B228=C$4),0,AND($C$7="N",B228=C$4),0,TRUE,((D227-D228)-L228+N228))</f>
        <v>0</v>
      </c>
      <c r="L228" s="51">
        <f t="shared" si="71"/>
        <v>0</v>
      </c>
      <c r="M228" s="51">
        <f t="shared" si="64"/>
        <v>0</v>
      </c>
      <c r="N228" s="51">
        <f t="shared" si="84"/>
        <v>0</v>
      </c>
      <c r="O228" s="48">
        <f t="shared" si="82"/>
        <v>0</v>
      </c>
      <c r="P228" s="37">
        <f t="shared" si="72"/>
        <v>0</v>
      </c>
      <c r="Q228" s="56"/>
      <c r="R228" s="56"/>
      <c r="S228" s="56"/>
    </row>
    <row r="229" spans="2:19" x14ac:dyDescent="0.2">
      <c r="B229" s="50"/>
      <c r="C229" s="51"/>
      <c r="D229" s="46"/>
      <c r="E229" s="81"/>
      <c r="F229" s="52"/>
      <c r="G229" s="59"/>
      <c r="H229" s="53"/>
      <c r="I229" s="53">
        <f t="shared" si="80"/>
        <v>0</v>
      </c>
      <c r="J229" s="53">
        <f t="shared" si="81"/>
        <v>0</v>
      </c>
      <c r="K229" s="54" cm="1">
        <f t="array" ref="K229">_xlfn.IFS(AND($C$7="Y",B229=C$4),0,AND($C$7="N",B229=C$4),0,TRUE,((D228-D229)-L229+N229))</f>
        <v>0</v>
      </c>
      <c r="L229" s="51">
        <f t="shared" si="71"/>
        <v>0</v>
      </c>
      <c r="M229" s="51">
        <f t="shared" si="64"/>
        <v>0</v>
      </c>
      <c r="N229" s="51">
        <f t="shared" si="84"/>
        <v>0</v>
      </c>
      <c r="O229" s="48">
        <f t="shared" si="82"/>
        <v>0</v>
      </c>
      <c r="P229" s="37">
        <f t="shared" ref="P229:P232" si="85">O229*(1/((1+C$8)^(B229/12)))</f>
        <v>0</v>
      </c>
      <c r="Q229" s="56"/>
      <c r="R229" s="56"/>
      <c r="S229" s="56"/>
    </row>
    <row r="230" spans="2:19" x14ac:dyDescent="0.2">
      <c r="B230" s="50"/>
      <c r="C230" s="51"/>
      <c r="D230" s="46"/>
      <c r="E230" s="81"/>
      <c r="F230" s="52"/>
      <c r="G230" s="59"/>
      <c r="H230" s="53"/>
      <c r="I230" s="53">
        <f t="shared" si="80"/>
        <v>0</v>
      </c>
      <c r="J230" s="53">
        <f t="shared" si="81"/>
        <v>0</v>
      </c>
      <c r="K230" s="54" cm="1">
        <f t="array" ref="K230">_xlfn.IFS(AND($C$7="Y",B230=C$4),0,AND($C$7="N",B230=C$4),0,TRUE,((D229-D230)-L230+N230))</f>
        <v>0</v>
      </c>
      <c r="L230" s="51">
        <f t="shared" si="71"/>
        <v>0</v>
      </c>
      <c r="M230" s="51">
        <f t="shared" si="64"/>
        <v>0</v>
      </c>
      <c r="N230" s="51">
        <f t="shared" si="84"/>
        <v>0</v>
      </c>
      <c r="O230" s="48">
        <f t="shared" si="82"/>
        <v>0</v>
      </c>
      <c r="P230" s="37">
        <f t="shared" si="85"/>
        <v>0</v>
      </c>
      <c r="Q230" s="56"/>
      <c r="R230" s="56"/>
      <c r="S230" s="56"/>
    </row>
    <row r="231" spans="2:19" x14ac:dyDescent="0.2">
      <c r="B231" s="50"/>
      <c r="C231" s="51"/>
      <c r="D231" s="46"/>
      <c r="E231" s="81"/>
      <c r="F231" s="52"/>
      <c r="G231" s="59"/>
      <c r="H231" s="53"/>
      <c r="I231" s="53">
        <f t="shared" si="80"/>
        <v>0</v>
      </c>
      <c r="J231" s="53">
        <f t="shared" si="81"/>
        <v>0</v>
      </c>
      <c r="K231" s="54" cm="1">
        <f t="array" ref="K231">_xlfn.IFS(AND($C$7="Y",B231=C$4),0,AND($C$7="N",B231=C$4),0,TRUE,((D230-D231)-L231+N231))</f>
        <v>0</v>
      </c>
      <c r="L231" s="51">
        <f t="shared" si="71"/>
        <v>0</v>
      </c>
      <c r="M231" s="51">
        <f t="shared" si="64"/>
        <v>0</v>
      </c>
      <c r="N231" s="51">
        <f t="shared" si="84"/>
        <v>0</v>
      </c>
      <c r="O231" s="48">
        <f t="shared" si="82"/>
        <v>0</v>
      </c>
      <c r="P231" s="37">
        <f t="shared" si="85"/>
        <v>0</v>
      </c>
      <c r="Q231" s="56"/>
      <c r="R231" s="56"/>
      <c r="S231" s="56"/>
    </row>
    <row r="232" spans="2:19" x14ac:dyDescent="0.2">
      <c r="B232" s="50"/>
      <c r="C232" s="51"/>
      <c r="D232" s="46"/>
      <c r="E232" s="81"/>
      <c r="F232" s="52"/>
      <c r="G232" s="59"/>
      <c r="H232" s="53"/>
      <c r="I232" s="53">
        <f t="shared" si="80"/>
        <v>0</v>
      </c>
      <c r="J232" s="53">
        <f t="shared" si="81"/>
        <v>0</v>
      </c>
      <c r="K232" s="54" cm="1">
        <f t="array" ref="K232">_xlfn.IFS(AND($C$7="Y",B232=C$4),0,AND($C$7="N",B232=C$4),0,TRUE,((D231-D232)-L232+N232))</f>
        <v>0</v>
      </c>
      <c r="L232" s="51">
        <f t="shared" si="71"/>
        <v>0</v>
      </c>
      <c r="M232" s="51">
        <f t="shared" si="64"/>
        <v>0</v>
      </c>
      <c r="N232" s="51">
        <f t="shared" si="84"/>
        <v>0</v>
      </c>
      <c r="O232" s="48">
        <f t="shared" si="82"/>
        <v>0</v>
      </c>
      <c r="P232" s="37">
        <f t="shared" si="85"/>
        <v>0</v>
      </c>
      <c r="Q232" s="56"/>
      <c r="R232" s="56"/>
      <c r="S232" s="5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Zhang</dc:creator>
  <cp:lastModifiedBy>Coco Zhang</cp:lastModifiedBy>
  <dcterms:created xsi:type="dcterms:W3CDTF">2026-03-25T16:03:26Z</dcterms:created>
  <dcterms:modified xsi:type="dcterms:W3CDTF">2026-03-26T16:50:21Z</dcterms:modified>
</cp:coreProperties>
</file>