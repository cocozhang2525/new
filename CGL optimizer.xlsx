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Shared drives\Capital Markets 2\Capital Markets - Dropbox\20. Projects\Loan pricing automation\"/>
    </mc:Choice>
  </mc:AlternateContent>
  <xr:revisionPtr revIDLastSave="0" documentId="13_ncr:1_{68FBEDE9-9338-43D7-9659-48427D84DEA2}" xr6:coauthVersionLast="47" xr6:coauthVersionMax="47" xr10:uidLastSave="{00000000-0000-0000-0000-000000000000}"/>
  <bookViews>
    <workbookView xWindow="2505" yWindow="1440" windowWidth="22215" windowHeight="13290" xr2:uid="{7165C3D9-5FA1-465E-A98F-51FBAFB7788C}"/>
  </bookViews>
  <sheets>
    <sheet name="Pricing Tier-Term-Fico-Channel-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0" i="1" l="1"/>
  <c r="A60" i="1"/>
  <c r="B25" i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15" i="1"/>
  <c r="B16" i="1" s="1"/>
  <c r="B17" i="1" s="1"/>
  <c r="B18" i="1" s="1"/>
  <c r="B19" i="1" s="1"/>
  <c r="B20" i="1" s="1"/>
  <c r="B21" i="1" s="1"/>
  <c r="B22" i="1" s="1"/>
  <c r="B23" i="1" s="1"/>
  <c r="B24" i="1" s="1"/>
  <c r="B2" i="1"/>
  <c r="B4" i="1" s="1"/>
  <c r="B6" i="1" s="1"/>
  <c r="B7" i="1" s="1"/>
  <c r="B8" i="1" s="1"/>
  <c r="B9" i="1" s="1"/>
  <c r="B10" i="1" s="1"/>
  <c r="B11" i="1" s="1"/>
  <c r="B12" i="1" s="1"/>
  <c r="B13" i="1" s="1"/>
  <c r="B14" i="1" s="1"/>
</calcChain>
</file>

<file path=xl/sharedStrings.xml><?xml version="1.0" encoding="utf-8"?>
<sst xmlns="http://schemas.openxmlformats.org/spreadsheetml/2006/main" count="851" uniqueCount="25">
  <si>
    <t>Tier</t>
  </si>
  <si>
    <t>Term</t>
  </si>
  <si>
    <t xml:space="preserve">RA Loss </t>
  </si>
  <si>
    <t>DV01</t>
  </si>
  <si>
    <t>Fico bands</t>
  </si>
  <si>
    <t>LB / Non LB</t>
  </si>
  <si>
    <t>Loan purpose</t>
  </si>
  <si>
    <t>WA WAC</t>
  </si>
  <si>
    <t>CGL</t>
  </si>
  <si>
    <t>SOFI PRICE</t>
  </si>
  <si>
    <t>KROLL PRICE</t>
  </si>
  <si>
    <t>Total Current Principal</t>
  </si>
  <si>
    <t>UPB%</t>
  </si>
  <si>
    <t>Weighted Avg CGL</t>
  </si>
  <si>
    <t>&lt;700</t>
  </si>
  <si>
    <t>LB+Non LB</t>
  </si>
  <si>
    <t>700-719</t>
  </si>
  <si>
    <t>720-739</t>
  </si>
  <si>
    <t>740-759</t>
  </si>
  <si>
    <t>760-779</t>
  </si>
  <si>
    <t>780-800</t>
  </si>
  <si>
    <t>&gt;800</t>
  </si>
  <si>
    <t>LB</t>
  </si>
  <si>
    <t>Non LB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</si>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</sst>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%"/>
    <numFmt numFmtId="165" formatCode="0.000"/>
  </numFmts>
  <fonts count="9" x14ac:knownFonts="1">
    <font>
      <sz val="8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0"/>
      <name val="Arial"/>
      <family val="2"/>
    </font>
    <font>
      <b/>
      <u/>
      <sz val="8"/>
      <color rgb="FFFFFFFF"/>
      <name val="Arial"/>
      <family val="2"/>
    </font>
    <font>
      <b/>
      <sz val="8"/>
      <color rgb="FFFFFFFF"/>
      <name val="Arial"/>
      <family val="2"/>
    </font>
    <font>
      <sz val="8"/>
      <color rgb="FF000000"/>
      <name val="Aptos Narrow"/>
      <family val="2"/>
    </font>
    <font>
      <sz val="8"/>
      <color theme="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C1F0C8"/>
        <bgColor rgb="FFC1F0C8"/>
      </patternFill>
    </fill>
    <fill>
      <patternFill patternType="solid">
        <fgColor rgb="FFC1E4F5"/>
        <bgColor rgb="FFC1E4F5"/>
      </patternFill>
    </fill>
    <fill>
      <patternFill patternType="solid">
        <fgColor theme="0"/>
        <bgColor theme="0"/>
      </patternFill>
    </fill>
    <fill>
      <patternFill patternType="solid">
        <fgColor rgb="FFFAE2D5"/>
        <bgColor rgb="FFFAE2D5"/>
      </patternFill>
    </fill>
    <fill>
      <patternFill patternType="solid">
        <fgColor rgb="FFD0D0D0"/>
        <bgColor rgb="FFD0D0D0"/>
      </patternFill>
    </fill>
    <fill>
      <patternFill patternType="solid">
        <fgColor rgb="FFDBE9F7"/>
        <bgColor rgb="FFDBE9F7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BE9F7"/>
      </patternFill>
    </fill>
    <fill>
      <patternFill patternType="solid">
        <fgColor rgb="FFFFFF00"/>
        <bgColor rgb="FFC1E4F5"/>
      </patternFill>
    </fill>
  </fills>
  <borders count="5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3" fillId="0" borderId="0" xfId="0" applyFont="1"/>
    <xf numFmtId="164" fontId="4" fillId="2" borderId="0" xfId="0" applyNumberFormat="1" applyFont="1" applyFill="1" applyAlignment="1">
      <alignment horizontal="center" vertical="top" wrapText="1"/>
    </xf>
    <xf numFmtId="0" fontId="5" fillId="2" borderId="0" xfId="0" applyFont="1" applyFill="1" applyAlignment="1">
      <alignment horizontal="center" vertical="top" wrapText="1"/>
    </xf>
    <xf numFmtId="0" fontId="6" fillId="2" borderId="0" xfId="0" applyFont="1" applyFill="1" applyAlignment="1">
      <alignment horizontal="center" vertical="top" wrapText="1"/>
    </xf>
    <xf numFmtId="164" fontId="4" fillId="2" borderId="0" xfId="0" quotePrefix="1" applyNumberFormat="1" applyFont="1" applyFill="1" applyAlignment="1">
      <alignment horizontal="center" vertical="top" wrapText="1"/>
    </xf>
    <xf numFmtId="0" fontId="2" fillId="3" borderId="1" xfId="0" quotePrefix="1" applyFont="1" applyFill="1" applyBorder="1" applyAlignment="1">
      <alignment horizontal="center" vertical="top" wrapText="1"/>
    </xf>
    <xf numFmtId="10" fontId="2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3" fillId="0" borderId="2" xfId="0" applyNumberFormat="1" applyFont="1" applyBorder="1" applyAlignment="1">
      <alignment horizontal="center"/>
    </xf>
    <xf numFmtId="10" fontId="3" fillId="0" borderId="2" xfId="0" applyNumberFormat="1" applyFont="1" applyBorder="1" applyAlignment="1">
      <alignment horizontal="center"/>
    </xf>
    <xf numFmtId="4" fontId="3" fillId="0" borderId="2" xfId="0" applyNumberFormat="1" applyFont="1" applyBorder="1" applyAlignment="1">
      <alignment horizontal="center"/>
    </xf>
    <xf numFmtId="2" fontId="3" fillId="0" borderId="2" xfId="0" applyNumberFormat="1" applyFont="1" applyBorder="1" applyAlignment="1">
      <alignment horizontal="center"/>
    </xf>
    <xf numFmtId="10" fontId="2" fillId="4" borderId="3" xfId="0" applyNumberFormat="1" applyFont="1" applyFill="1" applyBorder="1" applyAlignment="1">
      <alignment horizontal="center" vertical="center"/>
    </xf>
    <xf numFmtId="10" fontId="2" fillId="4" borderId="1" xfId="0" applyNumberFormat="1" applyFont="1" applyFill="1" applyBorder="1" applyAlignment="1">
      <alignment horizontal="center" vertical="center"/>
    </xf>
    <xf numFmtId="10" fontId="2" fillId="4" borderId="4" xfId="0" applyNumberFormat="1" applyFont="1" applyFill="1" applyBorder="1" applyAlignment="1">
      <alignment horizontal="center" vertical="center"/>
    </xf>
    <xf numFmtId="2" fontId="3" fillId="5" borderId="2" xfId="0" applyNumberFormat="1" applyFont="1" applyFill="1" applyBorder="1" applyAlignment="1">
      <alignment horizontal="center"/>
    </xf>
    <xf numFmtId="10" fontId="2" fillId="3" borderId="1" xfId="0" applyNumberFormat="1" applyFont="1" applyFill="1" applyBorder="1" applyAlignment="1">
      <alignment horizontal="center" vertical="center"/>
    </xf>
    <xf numFmtId="10" fontId="2" fillId="6" borderId="1" xfId="0" applyNumberFormat="1" applyFont="1" applyFill="1" applyBorder="1" applyAlignment="1">
      <alignment horizontal="center" vertical="center"/>
    </xf>
    <xf numFmtId="10" fontId="2" fillId="5" borderId="2" xfId="0" applyNumberFormat="1" applyFont="1" applyFill="1" applyBorder="1" applyAlignment="1">
      <alignment horizontal="center"/>
    </xf>
    <xf numFmtId="10" fontId="3" fillId="4" borderId="2" xfId="0" applyNumberFormat="1" applyFont="1" applyFill="1" applyBorder="1" applyAlignment="1">
      <alignment horizontal="center"/>
    </xf>
    <xf numFmtId="0" fontId="7" fillId="0" borderId="1" xfId="0" applyFont="1" applyBorder="1"/>
    <xf numFmtId="10" fontId="3" fillId="3" borderId="2" xfId="0" applyNumberFormat="1" applyFont="1" applyFill="1" applyBorder="1" applyAlignment="1">
      <alignment horizontal="center"/>
    </xf>
    <xf numFmtId="10" fontId="3" fillId="6" borderId="2" xfId="0" applyNumberFormat="1" applyFont="1" applyFill="1" applyBorder="1" applyAlignment="1">
      <alignment horizontal="center"/>
    </xf>
    <xf numFmtId="10" fontId="3" fillId="7" borderId="2" xfId="0" applyNumberFormat="1" applyFont="1" applyFill="1" applyBorder="1" applyAlignment="1">
      <alignment horizontal="center"/>
    </xf>
    <xf numFmtId="10" fontId="3" fillId="8" borderId="2" xfId="0" applyNumberFormat="1" applyFont="1" applyFill="1" applyBorder="1" applyAlignment="1">
      <alignment horizontal="center"/>
    </xf>
    <xf numFmtId="0" fontId="3" fillId="9" borderId="2" xfId="0" applyFont="1" applyFill="1" applyBorder="1" applyAlignment="1">
      <alignment horizontal="center"/>
    </xf>
    <xf numFmtId="0" fontId="2" fillId="9" borderId="2" xfId="0" applyFont="1" applyFill="1" applyBorder="1" applyAlignment="1">
      <alignment horizontal="center"/>
    </xf>
    <xf numFmtId="165" fontId="3" fillId="9" borderId="2" xfId="0" applyNumberFormat="1" applyFont="1" applyFill="1" applyBorder="1" applyAlignment="1">
      <alignment horizontal="center"/>
    </xf>
    <xf numFmtId="10" fontId="3" fillId="9" borderId="2" xfId="0" applyNumberFormat="1" applyFont="1" applyFill="1" applyBorder="1" applyAlignment="1">
      <alignment horizontal="center"/>
    </xf>
    <xf numFmtId="4" fontId="3" fillId="9" borderId="2" xfId="0" applyNumberFormat="1" applyFont="1" applyFill="1" applyBorder="1" applyAlignment="1">
      <alignment horizontal="center"/>
    </xf>
    <xf numFmtId="0" fontId="8" fillId="0" borderId="0" xfId="0" applyFont="1"/>
    <xf numFmtId="0" fontId="7" fillId="0" borderId="0" xfId="0" applyFont="1"/>
    <xf numFmtId="10" fontId="7" fillId="0" borderId="0" xfId="0" applyNumberFormat="1" applyFont="1"/>
    <xf numFmtId="1" fontId="7" fillId="0" borderId="0" xfId="0" applyNumberFormat="1" applyFont="1"/>
    <xf numFmtId="9" fontId="3" fillId="0" borderId="2" xfId="1" applyFont="1" applyBorder="1" applyAlignment="1">
      <alignment horizontal="center"/>
    </xf>
    <xf numFmtId="9" fontId="3" fillId="9" borderId="2" xfId="1" applyFont="1" applyFill="1" applyBorder="1" applyAlignment="1">
      <alignment horizontal="center"/>
    </xf>
    <xf numFmtId="9" fontId="7" fillId="0" borderId="0" xfId="1" applyFont="1"/>
    <xf numFmtId="10" fontId="2" fillId="10" borderId="2" xfId="0" applyNumberFormat="1" applyFont="1" applyFill="1" applyBorder="1" applyAlignment="1">
      <alignment horizontal="center"/>
    </xf>
    <xf numFmtId="0" fontId="3" fillId="11" borderId="2" xfId="0" applyFont="1" applyFill="1" applyBorder="1" applyAlignment="1">
      <alignment horizontal="center"/>
    </xf>
    <xf numFmtId="0" fontId="2" fillId="11" borderId="2" xfId="0" applyFont="1" applyFill="1" applyBorder="1" applyAlignment="1">
      <alignment horizontal="center"/>
    </xf>
    <xf numFmtId="165" fontId="3" fillId="11" borderId="2" xfId="0" applyNumberFormat="1" applyFont="1" applyFill="1" applyBorder="1" applyAlignment="1">
      <alignment horizontal="center"/>
    </xf>
    <xf numFmtId="10" fontId="3" fillId="12" borderId="2" xfId="0" applyNumberFormat="1" applyFont="1" applyFill="1" applyBorder="1" applyAlignment="1">
      <alignment horizontal="center"/>
    </xf>
    <xf numFmtId="10" fontId="3" fillId="11" borderId="2" xfId="0" applyNumberFormat="1" applyFont="1" applyFill="1" applyBorder="1" applyAlignment="1">
      <alignment horizontal="center"/>
    </xf>
    <xf numFmtId="4" fontId="3" fillId="11" borderId="2" xfId="0" applyNumberFormat="1" applyFont="1" applyFill="1" applyBorder="1" applyAlignment="1">
      <alignment horizontal="center"/>
    </xf>
    <xf numFmtId="9" fontId="3" fillId="11" borderId="2" xfId="1" applyFont="1" applyFill="1" applyBorder="1" applyAlignment="1">
      <alignment horizontal="center"/>
    </xf>
    <xf numFmtId="2" fontId="3" fillId="10" borderId="2" xfId="0" applyNumberFormat="1" applyFont="1" applyFill="1" applyBorder="1" applyAlignment="1">
      <alignment horizontal="center"/>
    </xf>
    <xf numFmtId="10" fontId="2" fillId="13" borderId="4" xfId="0" applyNumberFormat="1" applyFont="1" applyFill="1" applyBorder="1" applyAlignment="1">
      <alignment horizontal="center" vertical="center"/>
    </xf>
    <xf numFmtId="0" fontId="7" fillId="11" borderId="1" xfId="0" applyFont="1" applyFill="1" applyBorder="1"/>
    <xf numFmtId="0" fontId="0" fillId="11" borderId="0" xfId="0" applyFill="1"/>
    <xf numFmtId="10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zhang\Downloads\PL%20assumption%20&amp;%20price%20by%20Bucket.xlsm" TargetMode="External"/><Relationship Id="rId1" Type="http://schemas.openxmlformats.org/officeDocument/2006/relationships/externalLinkPath" Target="file:///C:\Users\cozhang\Downloads\PL%20assumption%20&amp;%20price%20by%20Bucke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pline- Automized"/>
      <sheetName val="Pricing Tier-Term-wac"/>
      <sheetName val="Pricing Tier-Term-Fico-Channel"/>
      <sheetName val="Pricing Tier-Term-Fico-Channel-"/>
      <sheetName val="SAMPLE Tape"/>
      <sheetName val="RA assumption sclp26-1"/>
      <sheetName val="Fico band VS Tier"/>
      <sheetName val="LB VS Non LB CNL"/>
      <sheetName val="Loan purpose"/>
      <sheetName val="Pricing team pricing by bucket"/>
      <sheetName val="Copy of performance by bucket-a"/>
      <sheetName val="CGL Validation"/>
      <sheetName val="Copy of Fico band VS Tier"/>
      <sheetName val="DV01 VS RA Tier X Term perf"/>
      <sheetName val="Price SoFI VS Krol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">
          <cell r="L2">
            <v>8.5000000000000006E-3</v>
          </cell>
        </row>
        <row r="3">
          <cell r="L3">
            <v>9.0000000000000011E-3</v>
          </cell>
        </row>
        <row r="4">
          <cell r="L4">
            <v>1.7999999999999999E-2</v>
          </cell>
        </row>
        <row r="10">
          <cell r="K10">
            <v>6.5000000000000002E-2</v>
          </cell>
          <cell r="L10">
            <v>0.06</v>
          </cell>
        </row>
      </sheetData>
      <sheetData sheetId="14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4810B-3917-406F-84F1-84B97ADA55BA}">
  <dimension ref="A1:T935"/>
  <sheetViews>
    <sheetView tabSelected="1" topLeftCell="C1" workbookViewId="0">
      <pane ySplit="2" topLeftCell="A403" activePane="bottomLeft" state="frozen"/>
      <selection pane="bottomLeft" activeCell="C96" sqref="A96:XFD96"/>
    </sheetView>
  </sheetViews>
  <sheetFormatPr defaultColWidth="16.83203125" defaultRowHeight="15" customHeight="1" x14ac:dyDescent="0.2"/>
  <cols>
    <col min="1" max="2" width="8.83203125" hidden="1" customWidth="1"/>
    <col min="3" max="3" width="7" customWidth="1"/>
    <col min="4" max="4" width="5.6640625" customWidth="1"/>
    <col min="5" max="5" width="17.6640625" customWidth="1"/>
    <col min="6" max="6" width="19.5" customWidth="1"/>
    <col min="7" max="7" width="8.1640625" customWidth="1"/>
    <col min="8" max="8" width="15.33203125" customWidth="1"/>
    <col min="9" max="9" width="27.33203125" customWidth="1"/>
    <col min="10" max="10" width="15.83203125" customWidth="1"/>
    <col min="11" max="12" width="27.33203125" customWidth="1"/>
    <col min="13" max="13" width="19.5" customWidth="1"/>
    <col min="14" max="14" width="16.33203125" customWidth="1"/>
    <col min="15" max="15" width="17.6640625" customWidth="1"/>
    <col min="16" max="16" width="13.1640625" customWidth="1"/>
    <col min="17" max="18" width="19.33203125" customWidth="1"/>
    <col min="20" max="20" width="38.1640625" customWidth="1"/>
    <col min="21" max="21" width="23.83203125" customWidth="1"/>
    <col min="22" max="31" width="8.83203125" customWidth="1"/>
  </cols>
  <sheetData>
    <row r="1" spans="1:20" ht="11.25" customHeight="1" x14ac:dyDescent="0.2">
      <c r="A1" s="2" t="s">
        <v>2</v>
      </c>
      <c r="B1" s="2" t="s">
        <v>3</v>
      </c>
      <c r="C1" s="2" t="s">
        <v>0</v>
      </c>
      <c r="D1" s="2" t="s">
        <v>1</v>
      </c>
      <c r="E1" s="2" t="s">
        <v>4</v>
      </c>
      <c r="F1" s="4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2"/>
      <c r="O1" s="2"/>
      <c r="P1" s="2"/>
      <c r="Q1" s="5" t="s">
        <v>13</v>
      </c>
      <c r="R1" s="6" t="s">
        <v>13</v>
      </c>
      <c r="T1" s="2"/>
    </row>
    <row r="2" spans="1:20" ht="11.25" customHeight="1" x14ac:dyDescent="0.2">
      <c r="A2" s="7">
        <v>0.01</v>
      </c>
      <c r="B2" s="7">
        <f>'[1]DV01 VS RA Tier X Term perf'!L2</f>
        <v>8.5000000000000006E-3</v>
      </c>
      <c r="C2" s="8">
        <v>1</v>
      </c>
      <c r="D2" s="8">
        <v>24</v>
      </c>
      <c r="E2" s="9" t="s">
        <v>14</v>
      </c>
      <c r="F2" s="10" t="s">
        <v>15</v>
      </c>
      <c r="G2" s="10"/>
      <c r="H2" s="8">
        <v>9.4197986139999994</v>
      </c>
      <c r="I2" s="11">
        <v>2.0213686497607481E-2</v>
      </c>
      <c r="J2" s="11"/>
      <c r="K2" s="12"/>
      <c r="L2" s="8">
        <v>849144.54999999993</v>
      </c>
      <c r="M2" s="36">
        <v>1.1320513817450559E-3</v>
      </c>
      <c r="N2" s="8"/>
      <c r="O2" s="13"/>
      <c r="P2" s="8"/>
      <c r="Q2" s="14"/>
      <c r="R2" s="15"/>
      <c r="T2" s="1"/>
    </row>
    <row r="3" spans="1:20" ht="11.25" customHeight="1" x14ac:dyDescent="0.2">
      <c r="A3" s="7"/>
      <c r="B3" s="7"/>
      <c r="C3" s="8">
        <v>1</v>
      </c>
      <c r="D3" s="8">
        <v>24</v>
      </c>
      <c r="E3" s="9" t="s">
        <v>16</v>
      </c>
      <c r="F3" s="10" t="s">
        <v>15</v>
      </c>
      <c r="G3" s="10"/>
      <c r="H3" s="8">
        <v>9.7041795480000008</v>
      </c>
      <c r="I3" s="11">
        <v>1.7713686497607482E-2</v>
      </c>
      <c r="J3" s="11"/>
      <c r="K3" s="12"/>
      <c r="L3" s="8">
        <v>1757928.69</v>
      </c>
      <c r="M3" s="36">
        <v>2.3436122890075389E-3</v>
      </c>
      <c r="N3" s="8"/>
      <c r="O3" s="13"/>
      <c r="P3" s="8"/>
      <c r="Q3" s="16"/>
      <c r="R3" s="15"/>
    </row>
    <row r="4" spans="1:20" ht="11.25" customHeight="1" x14ac:dyDescent="0.2">
      <c r="A4" s="7">
        <v>0.01</v>
      </c>
      <c r="B4" s="7">
        <f>B2</f>
        <v>8.5000000000000006E-3</v>
      </c>
      <c r="C4" s="8">
        <v>1</v>
      </c>
      <c r="D4" s="8">
        <v>24</v>
      </c>
      <c r="E4" s="9" t="s">
        <v>17</v>
      </c>
      <c r="F4" s="10" t="s">
        <v>15</v>
      </c>
      <c r="G4" s="10"/>
      <c r="H4" s="8">
        <v>8.8952094919999993</v>
      </c>
      <c r="I4" s="11">
        <v>1.5213686497607482E-2</v>
      </c>
      <c r="J4" s="11"/>
      <c r="K4" s="12"/>
      <c r="L4" s="8">
        <v>3718930.82</v>
      </c>
      <c r="M4" s="36">
        <v>4.9579553603627006E-3</v>
      </c>
      <c r="N4" s="8"/>
      <c r="O4" s="13"/>
      <c r="P4" s="8"/>
      <c r="Q4" s="16"/>
      <c r="R4" s="15"/>
    </row>
    <row r="5" spans="1:20" ht="11.25" customHeight="1" x14ac:dyDescent="0.2">
      <c r="A5" s="7"/>
      <c r="B5" s="7"/>
      <c r="C5" s="8">
        <v>1</v>
      </c>
      <c r="D5" s="8">
        <v>24</v>
      </c>
      <c r="E5" s="9" t="s">
        <v>18</v>
      </c>
      <c r="F5" s="10" t="s">
        <v>15</v>
      </c>
      <c r="G5" s="10"/>
      <c r="H5" s="8">
        <v>8.6768145949999997</v>
      </c>
      <c r="I5" s="11">
        <v>1.2713686497607481E-2</v>
      </c>
      <c r="J5" s="11"/>
      <c r="K5" s="12"/>
      <c r="L5" s="8">
        <v>5147357.18</v>
      </c>
      <c r="M5" s="36">
        <v>6.8622860594869687E-3</v>
      </c>
      <c r="N5" s="8"/>
      <c r="O5" s="13"/>
      <c r="P5" s="8"/>
      <c r="Q5" s="16"/>
      <c r="R5" s="15"/>
    </row>
    <row r="6" spans="1:20" ht="11.25" customHeight="1" x14ac:dyDescent="0.2">
      <c r="A6" s="7">
        <v>0.01</v>
      </c>
      <c r="B6" s="7">
        <f>B4</f>
        <v>8.5000000000000006E-3</v>
      </c>
      <c r="C6" s="8">
        <v>1</v>
      </c>
      <c r="D6" s="8">
        <v>24</v>
      </c>
      <c r="E6" s="9" t="s">
        <v>19</v>
      </c>
      <c r="F6" s="10" t="s">
        <v>15</v>
      </c>
      <c r="G6" s="10"/>
      <c r="H6" s="8">
        <v>7.6931112710000003</v>
      </c>
      <c r="I6" s="11">
        <v>1.0213686497607481E-2</v>
      </c>
      <c r="J6" s="11"/>
      <c r="K6" s="12"/>
      <c r="L6" s="8">
        <v>7145778.9299999997</v>
      </c>
      <c r="M6" s="36">
        <v>9.5265157285072469E-3</v>
      </c>
      <c r="N6" s="8"/>
      <c r="O6" s="13"/>
      <c r="P6" s="8"/>
      <c r="Q6" s="16"/>
      <c r="R6" s="15"/>
    </row>
    <row r="7" spans="1:20" ht="11.25" customHeight="1" x14ac:dyDescent="0.2">
      <c r="A7" s="7">
        <v>0.01</v>
      </c>
      <c r="B7" s="7">
        <f t="shared" ref="B7:B14" si="0">B6</f>
        <v>8.5000000000000006E-3</v>
      </c>
      <c r="C7" s="8">
        <v>1</v>
      </c>
      <c r="D7" s="8">
        <v>24</v>
      </c>
      <c r="E7" s="9" t="s">
        <v>20</v>
      </c>
      <c r="F7" s="10" t="s">
        <v>15</v>
      </c>
      <c r="G7" s="10"/>
      <c r="H7" s="8">
        <v>7.6192789750000003</v>
      </c>
      <c r="I7" s="11">
        <v>7.7136864976074812E-3</v>
      </c>
      <c r="J7" s="11"/>
      <c r="K7" s="12"/>
      <c r="L7" s="8">
        <v>8277820.0199999996</v>
      </c>
      <c r="M7" s="36">
        <v>1.103571540496596E-2</v>
      </c>
      <c r="N7" s="8"/>
      <c r="O7" s="17"/>
      <c r="P7" s="8"/>
      <c r="Q7" s="16"/>
      <c r="R7" s="15"/>
    </row>
    <row r="8" spans="1:20" ht="11.25" customHeight="1" x14ac:dyDescent="0.2">
      <c r="A8" s="7">
        <v>0.01</v>
      </c>
      <c r="B8" s="7">
        <f t="shared" si="0"/>
        <v>8.5000000000000006E-3</v>
      </c>
      <c r="C8" s="8">
        <v>1</v>
      </c>
      <c r="D8" s="8">
        <v>24</v>
      </c>
      <c r="E8" s="9" t="s">
        <v>21</v>
      </c>
      <c r="F8" s="10" t="s">
        <v>15</v>
      </c>
      <c r="G8" s="10"/>
      <c r="H8" s="8">
        <v>7.6451966240000004</v>
      </c>
      <c r="I8" s="11">
        <v>5.2136864976074816E-3</v>
      </c>
      <c r="J8" s="11"/>
      <c r="K8" s="12"/>
      <c r="L8" s="8">
        <v>7979403.1200000001</v>
      </c>
      <c r="M8" s="36">
        <v>1.063787588049268E-2</v>
      </c>
      <c r="N8" s="8"/>
      <c r="O8" s="17"/>
      <c r="P8" s="8"/>
      <c r="Q8" s="16"/>
      <c r="R8" s="15"/>
    </row>
    <row r="9" spans="1:20" ht="11.25" customHeight="1" x14ac:dyDescent="0.2">
      <c r="A9" s="7">
        <v>0.01</v>
      </c>
      <c r="B9" s="7">
        <f t="shared" si="0"/>
        <v>8.5000000000000006E-3</v>
      </c>
      <c r="C9" s="8">
        <v>1</v>
      </c>
      <c r="D9" s="8">
        <v>36</v>
      </c>
      <c r="E9" s="9" t="s">
        <v>14</v>
      </c>
      <c r="F9" s="10" t="s">
        <v>15</v>
      </c>
      <c r="G9" s="10"/>
      <c r="H9" s="8">
        <v>10.472652979999999</v>
      </c>
      <c r="I9" s="11">
        <v>2.9695193717686766E-2</v>
      </c>
      <c r="J9" s="11"/>
      <c r="K9" s="12"/>
      <c r="L9" s="8">
        <v>844588.08</v>
      </c>
      <c r="M9" s="36">
        <v>1.1259768468977441E-3</v>
      </c>
      <c r="N9" s="8"/>
      <c r="O9" s="17"/>
      <c r="P9" s="8"/>
      <c r="Q9" s="16"/>
      <c r="R9" s="15"/>
    </row>
    <row r="10" spans="1:20" ht="11.25" customHeight="1" x14ac:dyDescent="0.2">
      <c r="A10" s="7">
        <v>0.01</v>
      </c>
      <c r="B10" s="7">
        <f t="shared" si="0"/>
        <v>8.5000000000000006E-3</v>
      </c>
      <c r="C10" s="8">
        <v>1</v>
      </c>
      <c r="D10" s="8">
        <v>36</v>
      </c>
      <c r="E10" s="9" t="s">
        <v>16</v>
      </c>
      <c r="F10" s="10" t="s">
        <v>15</v>
      </c>
      <c r="G10" s="10"/>
      <c r="H10" s="8">
        <v>10.537577369999999</v>
      </c>
      <c r="I10" s="11">
        <v>2.7195193717686767E-2</v>
      </c>
      <c r="J10" s="11"/>
      <c r="K10" s="12"/>
      <c r="L10" s="8">
        <v>1406941.71</v>
      </c>
      <c r="M10" s="36">
        <v>1.8756880755346689E-3</v>
      </c>
      <c r="N10" s="8"/>
      <c r="O10" s="17"/>
      <c r="P10" s="8"/>
      <c r="Q10" s="16"/>
      <c r="R10" s="15"/>
    </row>
    <row r="11" spans="1:20" ht="11.25" customHeight="1" x14ac:dyDescent="0.2">
      <c r="A11" s="7">
        <v>0.01</v>
      </c>
      <c r="B11" s="7">
        <f t="shared" si="0"/>
        <v>8.5000000000000006E-3</v>
      </c>
      <c r="C11" s="8">
        <v>1</v>
      </c>
      <c r="D11" s="8">
        <v>36</v>
      </c>
      <c r="E11" s="9" t="s">
        <v>17</v>
      </c>
      <c r="F11" s="10" t="s">
        <v>15</v>
      </c>
      <c r="G11" s="10"/>
      <c r="H11" s="8">
        <v>9.7399000569999998</v>
      </c>
      <c r="I11" s="11">
        <v>2.4695193717686768E-2</v>
      </c>
      <c r="J11" s="11"/>
      <c r="K11" s="12"/>
      <c r="L11" s="8">
        <v>3181283.55</v>
      </c>
      <c r="M11" s="36">
        <v>4.2411818323515316E-3</v>
      </c>
      <c r="N11" s="8"/>
      <c r="O11" s="17"/>
      <c r="P11" s="8"/>
      <c r="Q11" s="16"/>
      <c r="R11" s="15"/>
    </row>
    <row r="12" spans="1:20" ht="11.25" customHeight="1" x14ac:dyDescent="0.2">
      <c r="A12" s="7">
        <v>0.01</v>
      </c>
      <c r="B12" s="7">
        <f t="shared" si="0"/>
        <v>8.5000000000000006E-3</v>
      </c>
      <c r="C12" s="8">
        <v>1</v>
      </c>
      <c r="D12" s="8">
        <v>36</v>
      </c>
      <c r="E12" s="9" t="s">
        <v>18</v>
      </c>
      <c r="F12" s="10" t="s">
        <v>15</v>
      </c>
      <c r="G12" s="10"/>
      <c r="H12" s="8">
        <v>9.0245212180000003</v>
      </c>
      <c r="I12" s="11">
        <v>2.2195193717686766E-2</v>
      </c>
      <c r="J12" s="11"/>
      <c r="K12" s="12"/>
      <c r="L12" s="8">
        <v>4213555.3499999996</v>
      </c>
      <c r="M12" s="36">
        <v>5.6173723967571513E-3</v>
      </c>
      <c r="N12" s="8"/>
      <c r="O12" s="17"/>
      <c r="P12" s="8"/>
      <c r="Q12" s="16"/>
      <c r="R12" s="15"/>
    </row>
    <row r="13" spans="1:20" ht="11.25" customHeight="1" x14ac:dyDescent="0.2">
      <c r="A13" s="7">
        <v>0.01</v>
      </c>
      <c r="B13" s="7">
        <f t="shared" si="0"/>
        <v>8.5000000000000006E-3</v>
      </c>
      <c r="C13" s="8">
        <v>1</v>
      </c>
      <c r="D13" s="8">
        <v>36</v>
      </c>
      <c r="E13" s="9" t="s">
        <v>19</v>
      </c>
      <c r="F13" s="10" t="s">
        <v>15</v>
      </c>
      <c r="G13" s="10"/>
      <c r="H13" s="8">
        <v>8.4563069580000008</v>
      </c>
      <c r="I13" s="11">
        <v>1.9695193717686767E-2</v>
      </c>
      <c r="J13" s="11"/>
      <c r="K13" s="12"/>
      <c r="L13" s="8">
        <v>4504023.17</v>
      </c>
      <c r="M13" s="36">
        <v>6.0046144711289112E-3</v>
      </c>
      <c r="N13" s="8"/>
      <c r="O13" s="17"/>
      <c r="P13" s="8"/>
      <c r="Q13" s="16"/>
      <c r="R13" s="15"/>
    </row>
    <row r="14" spans="1:20" ht="11.25" customHeight="1" x14ac:dyDescent="0.2">
      <c r="A14" s="7">
        <v>0.01</v>
      </c>
      <c r="B14" s="7">
        <f t="shared" si="0"/>
        <v>8.5000000000000006E-3</v>
      </c>
      <c r="C14" s="8">
        <v>1</v>
      </c>
      <c r="D14" s="8">
        <v>36</v>
      </c>
      <c r="E14" s="9" t="s">
        <v>20</v>
      </c>
      <c r="F14" s="10" t="s">
        <v>15</v>
      </c>
      <c r="G14" s="10"/>
      <c r="H14" s="8">
        <v>7.9915393760000004</v>
      </c>
      <c r="I14" s="11">
        <v>1.7195193717686769E-2</v>
      </c>
      <c r="J14" s="11"/>
      <c r="K14" s="12"/>
      <c r="L14" s="8">
        <v>5047795.09</v>
      </c>
      <c r="M14" s="36">
        <v>6.7295531796093006E-3</v>
      </c>
      <c r="N14" s="8"/>
      <c r="O14" s="17"/>
      <c r="P14" s="8"/>
      <c r="Q14" s="16"/>
      <c r="R14" s="15"/>
    </row>
    <row r="15" spans="1:20" ht="11.25" customHeight="1" x14ac:dyDescent="0.2">
      <c r="A15" s="7">
        <v>0.02</v>
      </c>
      <c r="B15" s="7">
        <f>'[1]DV01 VS RA Tier X Term perf'!L3</f>
        <v>9.0000000000000011E-3</v>
      </c>
      <c r="C15" s="8">
        <v>1</v>
      </c>
      <c r="D15" s="8">
        <v>36</v>
      </c>
      <c r="E15" s="9" t="s">
        <v>21</v>
      </c>
      <c r="F15" s="10" t="s">
        <v>15</v>
      </c>
      <c r="G15" s="10"/>
      <c r="H15" s="8">
        <v>8.0985694529999996</v>
      </c>
      <c r="I15" s="11">
        <v>1.4695193717686768E-2</v>
      </c>
      <c r="J15" s="11"/>
      <c r="K15" s="12"/>
      <c r="L15" s="8">
        <v>5083509.67</v>
      </c>
      <c r="M15" s="36">
        <v>6.7771666744347054E-3</v>
      </c>
      <c r="N15" s="8"/>
      <c r="O15" s="17"/>
      <c r="P15" s="8"/>
      <c r="Q15" s="16"/>
      <c r="R15" s="18"/>
    </row>
    <row r="16" spans="1:20" ht="11.25" customHeight="1" x14ac:dyDescent="0.2">
      <c r="A16" s="7">
        <v>0.02</v>
      </c>
      <c r="B16" s="7">
        <f t="shared" ref="B16:B24" si="1">B15</f>
        <v>9.0000000000000011E-3</v>
      </c>
      <c r="C16" s="8">
        <v>1</v>
      </c>
      <c r="D16" s="8">
        <v>48</v>
      </c>
      <c r="E16" s="9" t="s">
        <v>14</v>
      </c>
      <c r="F16" s="10" t="s">
        <v>15</v>
      </c>
      <c r="G16" s="10"/>
      <c r="H16" s="8">
        <v>11.24861293</v>
      </c>
      <c r="I16" s="11">
        <v>3.4489653480264663E-2</v>
      </c>
      <c r="J16" s="11"/>
      <c r="K16" s="12"/>
      <c r="L16" s="8">
        <v>1020732.71</v>
      </c>
      <c r="M16" s="36">
        <v>1.360807031909792E-3</v>
      </c>
      <c r="N16" s="8"/>
      <c r="O16" s="17"/>
      <c r="P16" s="8"/>
      <c r="Q16" s="16"/>
      <c r="R16" s="18"/>
    </row>
    <row r="17" spans="1:18" ht="11.25" customHeight="1" x14ac:dyDescent="0.2">
      <c r="A17" s="7">
        <v>0.02</v>
      </c>
      <c r="B17" s="7">
        <f t="shared" si="1"/>
        <v>9.0000000000000011E-3</v>
      </c>
      <c r="C17" s="8">
        <v>1</v>
      </c>
      <c r="D17" s="8">
        <v>48</v>
      </c>
      <c r="E17" s="9" t="s">
        <v>16</v>
      </c>
      <c r="F17" s="10" t="s">
        <v>15</v>
      </c>
      <c r="G17" s="10"/>
      <c r="H17" s="8">
        <v>11.459152680000001</v>
      </c>
      <c r="I17" s="11">
        <v>3.1989653480264668E-2</v>
      </c>
      <c r="J17" s="11"/>
      <c r="K17" s="12"/>
      <c r="L17" s="8">
        <v>2576094.35</v>
      </c>
      <c r="M17" s="36">
        <v>3.4343636409409121E-3</v>
      </c>
      <c r="N17" s="8"/>
      <c r="O17" s="17"/>
      <c r="P17" s="8"/>
      <c r="Q17" s="16"/>
      <c r="R17" s="18"/>
    </row>
    <row r="18" spans="1:18" ht="11.25" customHeight="1" x14ac:dyDescent="0.2">
      <c r="A18" s="7">
        <v>0.02</v>
      </c>
      <c r="B18" s="7">
        <f t="shared" si="1"/>
        <v>9.0000000000000011E-3</v>
      </c>
      <c r="C18" s="8">
        <v>1</v>
      </c>
      <c r="D18" s="8">
        <v>48</v>
      </c>
      <c r="E18" s="9" t="s">
        <v>17</v>
      </c>
      <c r="F18" s="10" t="s">
        <v>15</v>
      </c>
      <c r="G18" s="10"/>
      <c r="H18" s="8">
        <v>10.184478970000001</v>
      </c>
      <c r="I18" s="11">
        <v>2.9489653480264666E-2</v>
      </c>
      <c r="J18" s="11"/>
      <c r="K18" s="12"/>
      <c r="L18" s="8">
        <v>5333038.6400000006</v>
      </c>
      <c r="M18" s="36">
        <v>7.1098304302980872E-3</v>
      </c>
      <c r="N18" s="8"/>
      <c r="O18" s="17"/>
      <c r="P18" s="8"/>
      <c r="Q18" s="16"/>
      <c r="R18" s="18"/>
    </row>
    <row r="19" spans="1:18" ht="11.25" customHeight="1" x14ac:dyDescent="0.2">
      <c r="A19" s="7">
        <v>0.02</v>
      </c>
      <c r="B19" s="7">
        <f t="shared" si="1"/>
        <v>9.0000000000000011E-3</v>
      </c>
      <c r="C19" s="8">
        <v>1</v>
      </c>
      <c r="D19" s="8">
        <v>48</v>
      </c>
      <c r="E19" s="9" t="s">
        <v>18</v>
      </c>
      <c r="F19" s="10" t="s">
        <v>15</v>
      </c>
      <c r="G19" s="10"/>
      <c r="H19" s="8">
        <v>10.20375546</v>
      </c>
      <c r="I19" s="11">
        <v>2.6989653480264667E-2</v>
      </c>
      <c r="J19" s="11"/>
      <c r="K19" s="12"/>
      <c r="L19" s="8">
        <v>6443251.379999999</v>
      </c>
      <c r="M19" s="36">
        <v>8.5899292737140441E-3</v>
      </c>
      <c r="N19" s="8"/>
      <c r="O19" s="17"/>
      <c r="P19" s="8"/>
      <c r="Q19" s="16"/>
      <c r="R19" s="18"/>
    </row>
    <row r="20" spans="1:18" ht="11.25" customHeight="1" x14ac:dyDescent="0.2">
      <c r="A20" s="7">
        <v>0.02</v>
      </c>
      <c r="B20" s="7">
        <f t="shared" si="1"/>
        <v>9.0000000000000011E-3</v>
      </c>
      <c r="C20" s="8">
        <v>1</v>
      </c>
      <c r="D20" s="8">
        <v>48</v>
      </c>
      <c r="E20" s="9" t="s">
        <v>19</v>
      </c>
      <c r="F20" s="10" t="s">
        <v>15</v>
      </c>
      <c r="G20" s="10"/>
      <c r="H20" s="8">
        <v>9.3794324190000005</v>
      </c>
      <c r="I20" s="11">
        <v>2.4489653480264665E-2</v>
      </c>
      <c r="J20" s="11"/>
      <c r="K20" s="12"/>
      <c r="L20" s="8">
        <v>7499812.1000000006</v>
      </c>
      <c r="M20" s="36">
        <v>9.9985010215672843E-3</v>
      </c>
      <c r="N20" s="8"/>
      <c r="O20" s="17"/>
      <c r="P20" s="8"/>
      <c r="Q20" s="16"/>
      <c r="R20" s="18"/>
    </row>
    <row r="21" spans="1:18" ht="11.25" customHeight="1" x14ac:dyDescent="0.2">
      <c r="A21" s="7">
        <v>0.02</v>
      </c>
      <c r="B21" s="7">
        <f t="shared" si="1"/>
        <v>9.0000000000000011E-3</v>
      </c>
      <c r="C21" s="8">
        <v>1</v>
      </c>
      <c r="D21" s="8">
        <v>48</v>
      </c>
      <c r="E21" s="9" t="s">
        <v>20</v>
      </c>
      <c r="F21" s="10" t="s">
        <v>15</v>
      </c>
      <c r="G21" s="10"/>
      <c r="H21" s="8">
        <v>9.0187859120000002</v>
      </c>
      <c r="I21" s="11">
        <v>2.1989653480264666E-2</v>
      </c>
      <c r="J21" s="11"/>
      <c r="K21" s="12"/>
      <c r="L21" s="8">
        <v>7347072.3999999994</v>
      </c>
      <c r="M21" s="36">
        <v>9.7948735138216041E-3</v>
      </c>
      <c r="N21" s="8"/>
      <c r="O21" s="17"/>
      <c r="P21" s="8"/>
      <c r="Q21" s="16"/>
      <c r="R21" s="18"/>
    </row>
    <row r="22" spans="1:18" ht="11.25" customHeight="1" x14ac:dyDescent="0.2">
      <c r="A22" s="7">
        <v>0.02</v>
      </c>
      <c r="B22" s="7">
        <f t="shared" si="1"/>
        <v>9.0000000000000011E-3</v>
      </c>
      <c r="C22" s="8">
        <v>1</v>
      </c>
      <c r="D22" s="8">
        <v>48</v>
      </c>
      <c r="E22" s="9" t="s">
        <v>21</v>
      </c>
      <c r="F22" s="10" t="s">
        <v>15</v>
      </c>
      <c r="G22" s="10"/>
      <c r="H22" s="8">
        <v>9.3409423480000005</v>
      </c>
      <c r="I22" s="11">
        <v>1.9489653480264667E-2</v>
      </c>
      <c r="J22" s="11"/>
      <c r="K22" s="12"/>
      <c r="L22" s="8">
        <v>6988853.1699999999</v>
      </c>
      <c r="M22" s="36">
        <v>9.3173075042545048E-3</v>
      </c>
      <c r="N22" s="8"/>
      <c r="O22" s="17"/>
      <c r="P22" s="8"/>
      <c r="Q22" s="16"/>
      <c r="R22" s="18"/>
    </row>
    <row r="23" spans="1:18" ht="11.25" customHeight="1" x14ac:dyDescent="0.2">
      <c r="A23" s="7">
        <v>0.02</v>
      </c>
      <c r="B23" s="7">
        <f t="shared" si="1"/>
        <v>9.0000000000000011E-3</v>
      </c>
      <c r="C23" s="8">
        <v>1</v>
      </c>
      <c r="D23" s="8">
        <v>60</v>
      </c>
      <c r="E23" s="9" t="s">
        <v>14</v>
      </c>
      <c r="F23" s="10" t="s">
        <v>15</v>
      </c>
      <c r="G23" s="10"/>
      <c r="H23" s="8">
        <v>12.45235754</v>
      </c>
      <c r="I23" s="11">
        <v>5.9050911935922067E-2</v>
      </c>
      <c r="J23" s="11"/>
      <c r="K23" s="12"/>
      <c r="L23" s="8">
        <v>3159353.15</v>
      </c>
      <c r="M23" s="36">
        <v>4.211944949629713E-3</v>
      </c>
      <c r="N23" s="8"/>
      <c r="O23" s="17"/>
      <c r="P23" s="8"/>
      <c r="Q23" s="16"/>
      <c r="R23" s="18"/>
    </row>
    <row r="24" spans="1:18" ht="11.25" customHeight="1" x14ac:dyDescent="0.2">
      <c r="A24" s="7">
        <v>0.02</v>
      </c>
      <c r="B24" s="7">
        <f t="shared" si="1"/>
        <v>9.0000000000000011E-3</v>
      </c>
      <c r="C24" s="8">
        <v>1</v>
      </c>
      <c r="D24" s="8">
        <v>60</v>
      </c>
      <c r="E24" s="9" t="s">
        <v>16</v>
      </c>
      <c r="F24" s="10" t="s">
        <v>15</v>
      </c>
      <c r="G24" s="10"/>
      <c r="H24" s="8">
        <v>12.43242682</v>
      </c>
      <c r="I24" s="11">
        <v>5.6550911935922071E-2</v>
      </c>
      <c r="J24" s="11"/>
      <c r="K24" s="12"/>
      <c r="L24" s="8">
        <v>8051376.8499999996</v>
      </c>
      <c r="M24" s="36">
        <v>1.0733828872825779E-2</v>
      </c>
      <c r="N24" s="8"/>
      <c r="O24" s="17"/>
      <c r="P24" s="8"/>
      <c r="Q24" s="16"/>
      <c r="R24" s="19"/>
    </row>
    <row r="25" spans="1:18" ht="11.25" customHeight="1" x14ac:dyDescent="0.2">
      <c r="A25" s="7">
        <v>2.5000000000000001E-2</v>
      </c>
      <c r="B25" s="7">
        <f>'[1]DV01 VS RA Tier X Term perf'!L4</f>
        <v>1.7999999999999999E-2</v>
      </c>
      <c r="C25" s="8">
        <v>1</v>
      </c>
      <c r="D25" s="8">
        <v>60</v>
      </c>
      <c r="E25" s="9" t="s">
        <v>17</v>
      </c>
      <c r="F25" s="10" t="s">
        <v>15</v>
      </c>
      <c r="G25" s="10"/>
      <c r="H25" s="8">
        <v>12.17411836</v>
      </c>
      <c r="I25" s="11">
        <v>5.4050911935922069E-2</v>
      </c>
      <c r="J25" s="11"/>
      <c r="K25" s="12"/>
      <c r="L25" s="8">
        <v>12901754.470000001</v>
      </c>
      <c r="M25" s="36">
        <v>1.720019162190814E-2</v>
      </c>
      <c r="N25" s="8"/>
      <c r="O25" s="17"/>
      <c r="P25" s="8"/>
      <c r="Q25" s="16"/>
      <c r="R25" s="19"/>
    </row>
    <row r="26" spans="1:18" ht="11.25" customHeight="1" x14ac:dyDescent="0.2">
      <c r="A26" s="7">
        <v>2.5000000000000001E-2</v>
      </c>
      <c r="B26" s="7">
        <f t="shared" ref="B26:B38" si="2">B25</f>
        <v>1.7999999999999999E-2</v>
      </c>
      <c r="C26" s="8">
        <v>1</v>
      </c>
      <c r="D26" s="8">
        <v>60</v>
      </c>
      <c r="E26" s="9" t="s">
        <v>18</v>
      </c>
      <c r="F26" s="10" t="s">
        <v>15</v>
      </c>
      <c r="G26" s="10"/>
      <c r="H26" s="8">
        <v>11.55559489</v>
      </c>
      <c r="I26" s="11">
        <v>5.1550911935922067E-2</v>
      </c>
      <c r="J26" s="11"/>
      <c r="K26" s="12"/>
      <c r="L26" s="8">
        <v>18444727.670000002</v>
      </c>
      <c r="M26" s="36">
        <v>2.4589899852427679E-2</v>
      </c>
      <c r="N26" s="8"/>
      <c r="O26" s="17"/>
      <c r="P26" s="8"/>
      <c r="Q26" s="16"/>
      <c r="R26" s="19"/>
    </row>
    <row r="27" spans="1:18" ht="11.25" customHeight="1" x14ac:dyDescent="0.2">
      <c r="A27" s="7">
        <v>2.5000000000000001E-2</v>
      </c>
      <c r="B27" s="7">
        <f t="shared" si="2"/>
        <v>1.7999999999999999E-2</v>
      </c>
      <c r="C27" s="8">
        <v>1</v>
      </c>
      <c r="D27" s="8">
        <v>60</v>
      </c>
      <c r="E27" s="9" t="s">
        <v>19</v>
      </c>
      <c r="F27" s="10" t="s">
        <v>15</v>
      </c>
      <c r="G27" s="10"/>
      <c r="H27" s="8">
        <v>10.84196169</v>
      </c>
      <c r="I27" s="11">
        <v>4.9050911935922065E-2</v>
      </c>
      <c r="J27" s="11"/>
      <c r="K27" s="12"/>
      <c r="L27" s="8">
        <v>16234591.949999999</v>
      </c>
      <c r="M27" s="36">
        <v>2.1643420132726118E-2</v>
      </c>
      <c r="N27" s="8"/>
      <c r="O27" s="17"/>
      <c r="P27" s="8"/>
      <c r="Q27" s="16"/>
      <c r="R27" s="19"/>
    </row>
    <row r="28" spans="1:18" ht="11.25" customHeight="1" x14ac:dyDescent="0.2">
      <c r="A28" s="7">
        <v>2.5000000000000001E-2</v>
      </c>
      <c r="B28" s="7">
        <f t="shared" si="2"/>
        <v>1.7999999999999999E-2</v>
      </c>
      <c r="C28" s="8">
        <v>1</v>
      </c>
      <c r="D28" s="8">
        <v>60</v>
      </c>
      <c r="E28" s="9" t="s">
        <v>20</v>
      </c>
      <c r="F28" s="10" t="s">
        <v>15</v>
      </c>
      <c r="G28" s="10"/>
      <c r="H28" s="8">
        <v>10.512402420000001</v>
      </c>
      <c r="I28" s="11">
        <v>4.6550911935922069E-2</v>
      </c>
      <c r="J28" s="11"/>
      <c r="K28" s="12"/>
      <c r="L28" s="8">
        <v>16537875.720000001</v>
      </c>
      <c r="M28" s="36">
        <v>2.2047748007043101E-2</v>
      </c>
      <c r="N28" s="8"/>
      <c r="O28" s="17"/>
      <c r="P28" s="8"/>
      <c r="Q28" s="16"/>
      <c r="R28" s="19"/>
    </row>
    <row r="29" spans="1:18" ht="11.25" customHeight="1" x14ac:dyDescent="0.2">
      <c r="A29" s="7">
        <v>2.5000000000000001E-2</v>
      </c>
      <c r="B29" s="7">
        <f t="shared" si="2"/>
        <v>1.7999999999999999E-2</v>
      </c>
      <c r="C29" s="8">
        <v>1</v>
      </c>
      <c r="D29" s="8">
        <v>60</v>
      </c>
      <c r="E29" s="9" t="s">
        <v>21</v>
      </c>
      <c r="F29" s="10" t="s">
        <v>15</v>
      </c>
      <c r="G29" s="10"/>
      <c r="H29" s="8">
        <v>10.68285363</v>
      </c>
      <c r="I29" s="11">
        <v>4.4050911935922067E-2</v>
      </c>
      <c r="J29" s="11"/>
      <c r="K29" s="12"/>
      <c r="L29" s="8">
        <v>15088070.5</v>
      </c>
      <c r="M29" s="36">
        <v>2.01149157200524E-2</v>
      </c>
      <c r="N29" s="8"/>
      <c r="O29" s="17"/>
      <c r="P29" s="8"/>
      <c r="Q29" s="16"/>
      <c r="R29" s="19"/>
    </row>
    <row r="30" spans="1:18" ht="11.25" customHeight="1" x14ac:dyDescent="0.2">
      <c r="A30" s="7">
        <v>2.5000000000000001E-2</v>
      </c>
      <c r="B30" s="7">
        <f t="shared" si="2"/>
        <v>1.7999999999999999E-2</v>
      </c>
      <c r="C30" s="8">
        <v>1</v>
      </c>
      <c r="D30" s="8">
        <v>72</v>
      </c>
      <c r="E30" s="9" t="s">
        <v>14</v>
      </c>
      <c r="F30" s="10" t="s">
        <v>15</v>
      </c>
      <c r="G30" s="10"/>
      <c r="H30" s="8">
        <v>14.241345040000001</v>
      </c>
      <c r="I30" s="11">
        <v>7.4066636633236635E-2</v>
      </c>
      <c r="J30" s="11"/>
      <c r="K30" s="12"/>
      <c r="L30" s="8">
        <v>431552.86</v>
      </c>
      <c r="M30" s="36">
        <v>5.7533197552646451E-4</v>
      </c>
      <c r="N30" s="8"/>
      <c r="O30" s="17"/>
      <c r="P30" s="8"/>
      <c r="Q30" s="16"/>
      <c r="R30" s="19"/>
    </row>
    <row r="31" spans="1:18" ht="11.25" customHeight="1" x14ac:dyDescent="0.2">
      <c r="A31" s="7">
        <v>2.5000000000000001E-2</v>
      </c>
      <c r="B31" s="7">
        <f t="shared" si="2"/>
        <v>1.7999999999999999E-2</v>
      </c>
      <c r="C31" s="8">
        <v>1</v>
      </c>
      <c r="D31" s="8">
        <v>72</v>
      </c>
      <c r="E31" s="9" t="s">
        <v>16</v>
      </c>
      <c r="F31" s="10" t="s">
        <v>15</v>
      </c>
      <c r="G31" s="10"/>
      <c r="H31" s="8">
        <v>13.75875125</v>
      </c>
      <c r="I31" s="11">
        <v>7.1566636633236633E-2</v>
      </c>
      <c r="J31" s="11"/>
      <c r="K31" s="12"/>
      <c r="L31" s="8">
        <v>1878017.25</v>
      </c>
      <c r="M31" s="36">
        <v>2.503710378643483E-3</v>
      </c>
      <c r="N31" s="8"/>
      <c r="O31" s="17"/>
      <c r="P31" s="8"/>
      <c r="Q31" s="16"/>
      <c r="R31" s="19"/>
    </row>
    <row r="32" spans="1:18" ht="11.25" customHeight="1" x14ac:dyDescent="0.2">
      <c r="A32" s="7">
        <v>2.5000000000000001E-2</v>
      </c>
      <c r="B32" s="7">
        <f t="shared" si="2"/>
        <v>1.7999999999999999E-2</v>
      </c>
      <c r="C32" s="8">
        <v>1</v>
      </c>
      <c r="D32" s="8">
        <v>72</v>
      </c>
      <c r="E32" s="9" t="s">
        <v>17</v>
      </c>
      <c r="F32" s="10" t="s">
        <v>15</v>
      </c>
      <c r="G32" s="10"/>
      <c r="H32" s="8">
        <v>13.239453360000001</v>
      </c>
      <c r="I32" s="11">
        <v>6.906663663323663E-2</v>
      </c>
      <c r="J32" s="11"/>
      <c r="K32" s="12"/>
      <c r="L32" s="8">
        <v>2451620.62</v>
      </c>
      <c r="M32" s="36">
        <v>3.268419387942454E-3</v>
      </c>
      <c r="N32" s="8"/>
      <c r="O32" s="17"/>
      <c r="P32" s="8"/>
      <c r="Q32" s="16"/>
      <c r="R32" s="19"/>
    </row>
    <row r="33" spans="1:18" ht="11.25" customHeight="1" x14ac:dyDescent="0.2">
      <c r="A33" s="7">
        <v>2.5000000000000001E-2</v>
      </c>
      <c r="B33" s="7">
        <f t="shared" si="2"/>
        <v>1.7999999999999999E-2</v>
      </c>
      <c r="C33" s="8">
        <v>1</v>
      </c>
      <c r="D33" s="8">
        <v>72</v>
      </c>
      <c r="E33" s="9" t="s">
        <v>18</v>
      </c>
      <c r="F33" s="10" t="s">
        <v>15</v>
      </c>
      <c r="G33" s="10"/>
      <c r="H33" s="8">
        <v>12.791025060000001</v>
      </c>
      <c r="I33" s="11">
        <v>6.6566636633236642E-2</v>
      </c>
      <c r="J33" s="11"/>
      <c r="K33" s="12"/>
      <c r="L33" s="8">
        <v>3667657.23</v>
      </c>
      <c r="M33" s="36">
        <v>4.8895991088781588E-3</v>
      </c>
      <c r="N33" s="8"/>
      <c r="O33" s="17"/>
      <c r="P33" s="8"/>
      <c r="Q33" s="16"/>
      <c r="R33" s="19"/>
    </row>
    <row r="34" spans="1:18" ht="11.25" customHeight="1" x14ac:dyDescent="0.2">
      <c r="A34" s="7">
        <v>2.5000000000000001E-2</v>
      </c>
      <c r="B34" s="7">
        <f t="shared" si="2"/>
        <v>1.7999999999999999E-2</v>
      </c>
      <c r="C34" s="8">
        <v>1</v>
      </c>
      <c r="D34" s="8">
        <v>72</v>
      </c>
      <c r="E34" s="9" t="s">
        <v>19</v>
      </c>
      <c r="F34" s="10" t="s">
        <v>15</v>
      </c>
      <c r="G34" s="10"/>
      <c r="H34" s="8">
        <v>12.224255210000001</v>
      </c>
      <c r="I34" s="11">
        <v>6.406663663323664E-2</v>
      </c>
      <c r="J34" s="11"/>
      <c r="K34" s="12"/>
      <c r="L34" s="8">
        <v>3515076.35</v>
      </c>
      <c r="M34" s="36">
        <v>4.686183334694745E-3</v>
      </c>
      <c r="N34" s="8"/>
      <c r="O34" s="17"/>
      <c r="P34" s="8"/>
      <c r="Q34" s="16"/>
      <c r="R34" s="19"/>
    </row>
    <row r="35" spans="1:18" ht="11.25" customHeight="1" x14ac:dyDescent="0.2">
      <c r="A35" s="7">
        <v>2.5000000000000001E-2</v>
      </c>
      <c r="B35" s="7">
        <f t="shared" si="2"/>
        <v>1.7999999999999999E-2</v>
      </c>
      <c r="C35" s="8">
        <v>1</v>
      </c>
      <c r="D35" s="8">
        <v>72</v>
      </c>
      <c r="E35" s="9" t="s">
        <v>20</v>
      </c>
      <c r="F35" s="10" t="s">
        <v>15</v>
      </c>
      <c r="G35" s="10"/>
      <c r="H35" s="8">
        <v>11.532174120000001</v>
      </c>
      <c r="I35" s="11">
        <v>6.1566636633236638E-2</v>
      </c>
      <c r="J35" s="11"/>
      <c r="K35" s="12"/>
      <c r="L35" s="8">
        <v>3501093.49</v>
      </c>
      <c r="M35" s="36">
        <v>4.6675418489974651E-3</v>
      </c>
      <c r="N35" s="8"/>
      <c r="O35" s="17"/>
      <c r="P35" s="8"/>
      <c r="Q35" s="16"/>
      <c r="R35" s="19"/>
    </row>
    <row r="36" spans="1:18" ht="11.25" customHeight="1" x14ac:dyDescent="0.2">
      <c r="A36" s="7">
        <v>2.5000000000000001E-2</v>
      </c>
      <c r="B36" s="7">
        <f t="shared" si="2"/>
        <v>1.7999999999999999E-2</v>
      </c>
      <c r="C36" s="8">
        <v>1</v>
      </c>
      <c r="D36" s="8">
        <v>72</v>
      </c>
      <c r="E36" s="9" t="s">
        <v>21</v>
      </c>
      <c r="F36" s="10" t="s">
        <v>15</v>
      </c>
      <c r="G36" s="10"/>
      <c r="H36" s="8">
        <v>11.781771519999999</v>
      </c>
      <c r="I36" s="11">
        <v>5.9066636633236635E-2</v>
      </c>
      <c r="J36" s="11"/>
      <c r="K36" s="12"/>
      <c r="L36" s="8">
        <v>2807742.52</v>
      </c>
      <c r="M36" s="36">
        <v>3.743189306638482E-3</v>
      </c>
      <c r="N36" s="8"/>
      <c r="O36" s="17"/>
      <c r="P36" s="8"/>
      <c r="Q36" s="16"/>
      <c r="R36" s="19"/>
    </row>
    <row r="37" spans="1:18" ht="11.25" customHeight="1" x14ac:dyDescent="0.2">
      <c r="A37" s="7">
        <v>2.5000000000000001E-2</v>
      </c>
      <c r="B37" s="7">
        <f t="shared" si="2"/>
        <v>1.7999999999999999E-2</v>
      </c>
      <c r="C37" s="8">
        <v>1</v>
      </c>
      <c r="D37" s="8">
        <v>84</v>
      </c>
      <c r="E37" s="9" t="s">
        <v>14</v>
      </c>
      <c r="F37" s="10" t="s">
        <v>15</v>
      </c>
      <c r="G37" s="10"/>
      <c r="H37" s="8">
        <v>15.47504908</v>
      </c>
      <c r="I37" s="11">
        <v>9.8743172241758492E-2</v>
      </c>
      <c r="J37" s="11"/>
      <c r="K37" s="12"/>
      <c r="L37" s="8">
        <v>2870266.54</v>
      </c>
      <c r="M37" s="36">
        <v>3.8265442586702132E-3</v>
      </c>
      <c r="N37" s="8"/>
      <c r="O37" s="17"/>
      <c r="P37" s="8"/>
      <c r="Q37" s="16"/>
      <c r="R37" s="19"/>
    </row>
    <row r="38" spans="1:18" ht="11.25" customHeight="1" x14ac:dyDescent="0.2">
      <c r="A38" s="7">
        <v>2.5000000000000001E-2</v>
      </c>
      <c r="B38" s="7">
        <f t="shared" si="2"/>
        <v>1.7999999999999999E-2</v>
      </c>
      <c r="C38" s="8">
        <v>1</v>
      </c>
      <c r="D38" s="8">
        <v>84</v>
      </c>
      <c r="E38" s="9" t="s">
        <v>16</v>
      </c>
      <c r="F38" s="10" t="s">
        <v>15</v>
      </c>
      <c r="G38" s="10"/>
      <c r="H38" s="8">
        <v>15.563491559999999</v>
      </c>
      <c r="I38" s="11">
        <v>9.624317224175849E-2</v>
      </c>
      <c r="J38" s="11"/>
      <c r="K38" s="12"/>
      <c r="L38" s="8">
        <v>4659732.28</v>
      </c>
      <c r="M38" s="36">
        <v>6.2122006979094908E-3</v>
      </c>
      <c r="N38" s="8"/>
      <c r="O38" s="17"/>
      <c r="P38" s="8"/>
      <c r="Q38" s="16"/>
      <c r="R38" s="19"/>
    </row>
    <row r="39" spans="1:18" ht="11.25" customHeight="1" x14ac:dyDescent="0.2">
      <c r="A39" s="20">
        <v>2.5000000000000001E-2</v>
      </c>
      <c r="B39" s="20">
        <v>2.5000000000000001E-2</v>
      </c>
      <c r="C39" s="8">
        <v>1</v>
      </c>
      <c r="D39" s="8">
        <v>84</v>
      </c>
      <c r="E39" s="9" t="s">
        <v>17</v>
      </c>
      <c r="F39" s="10" t="s">
        <v>15</v>
      </c>
      <c r="G39" s="10"/>
      <c r="H39" s="8">
        <v>14.90674198</v>
      </c>
      <c r="I39" s="21">
        <v>9.3743172241758488E-2</v>
      </c>
      <c r="J39" s="11"/>
      <c r="K39" s="12"/>
      <c r="L39" s="8">
        <v>7692482.9400000013</v>
      </c>
      <c r="M39" s="36">
        <v>1.0255363402234961E-2</v>
      </c>
      <c r="N39" s="8"/>
      <c r="O39" s="17"/>
      <c r="P39" s="8"/>
      <c r="Q39" s="16"/>
      <c r="R39" s="22"/>
    </row>
    <row r="40" spans="1:18" ht="11.25" customHeight="1" x14ac:dyDescent="0.2">
      <c r="A40" s="20">
        <v>2.5000000000000001E-2</v>
      </c>
      <c r="B40" s="20">
        <v>2.5000000000000001E-2</v>
      </c>
      <c r="C40" s="8">
        <v>1</v>
      </c>
      <c r="D40" s="8">
        <v>84</v>
      </c>
      <c r="E40" s="9" t="s">
        <v>18</v>
      </c>
      <c r="F40" s="10" t="s">
        <v>15</v>
      </c>
      <c r="G40" s="10"/>
      <c r="H40" s="8">
        <v>14.410335229999999</v>
      </c>
      <c r="I40" s="21">
        <v>9.1243172241758486E-2</v>
      </c>
      <c r="J40" s="11"/>
      <c r="K40" s="12"/>
      <c r="L40" s="8">
        <v>8370151.5099999998</v>
      </c>
      <c r="M40" s="36">
        <v>1.115880868847473E-2</v>
      </c>
      <c r="N40" s="8"/>
      <c r="O40" s="17"/>
      <c r="P40" s="8"/>
      <c r="Q40" s="16"/>
      <c r="R40" s="22"/>
    </row>
    <row r="41" spans="1:18" ht="11.25" customHeight="1" x14ac:dyDescent="0.2">
      <c r="A41" s="20">
        <v>2.5000000000000001E-2</v>
      </c>
      <c r="B41" s="20">
        <v>2.5000000000000001E-2</v>
      </c>
      <c r="C41" s="8">
        <v>1</v>
      </c>
      <c r="D41" s="8">
        <v>84</v>
      </c>
      <c r="E41" s="9" t="s">
        <v>19</v>
      </c>
      <c r="F41" s="10" t="s">
        <v>15</v>
      </c>
      <c r="G41" s="10"/>
      <c r="H41" s="8">
        <v>13.88067047</v>
      </c>
      <c r="I41" s="21">
        <v>8.8743172241758483E-2</v>
      </c>
      <c r="J41" s="11"/>
      <c r="K41" s="12"/>
      <c r="L41" s="8">
        <v>9163247.5399999991</v>
      </c>
      <c r="M41" s="36">
        <v>1.221613804025355E-2</v>
      </c>
      <c r="N41" s="8"/>
      <c r="O41" s="17"/>
      <c r="P41" s="8"/>
      <c r="Q41" s="16"/>
      <c r="R41" s="22"/>
    </row>
    <row r="42" spans="1:18" ht="11.25" customHeight="1" x14ac:dyDescent="0.2">
      <c r="A42" s="20">
        <v>2.5000000000000001E-2</v>
      </c>
      <c r="B42" s="20">
        <v>2.5000000000000001E-2</v>
      </c>
      <c r="C42" s="8">
        <v>1</v>
      </c>
      <c r="D42" s="8">
        <v>84</v>
      </c>
      <c r="E42" s="9" t="s">
        <v>20</v>
      </c>
      <c r="F42" s="10" t="s">
        <v>15</v>
      </c>
      <c r="G42" s="10"/>
      <c r="H42" s="8">
        <v>13.4964627</v>
      </c>
      <c r="I42" s="21">
        <v>8.6243172241758495E-2</v>
      </c>
      <c r="J42" s="11"/>
      <c r="K42" s="12"/>
      <c r="L42" s="8">
        <v>8904069.6999999993</v>
      </c>
      <c r="M42" s="36">
        <v>1.187061073057501E-2</v>
      </c>
      <c r="N42" s="8"/>
      <c r="O42" s="17"/>
      <c r="P42" s="8"/>
      <c r="Q42" s="16"/>
      <c r="R42" s="22"/>
    </row>
    <row r="43" spans="1:18" ht="11.25" customHeight="1" x14ac:dyDescent="0.2">
      <c r="A43" s="20">
        <v>2.5000000000000001E-2</v>
      </c>
      <c r="B43" s="20">
        <v>2.5000000000000001E-2</v>
      </c>
      <c r="C43" s="8">
        <v>1</v>
      </c>
      <c r="D43" s="8">
        <v>84</v>
      </c>
      <c r="E43" s="9" t="s">
        <v>21</v>
      </c>
      <c r="F43" s="10" t="s">
        <v>15</v>
      </c>
      <c r="G43" s="10"/>
      <c r="H43" s="8">
        <v>13.73454512</v>
      </c>
      <c r="I43" s="21">
        <v>8.3743172241758493E-2</v>
      </c>
      <c r="J43" s="11"/>
      <c r="K43" s="12"/>
      <c r="L43" s="8">
        <v>7738569.1900000004</v>
      </c>
      <c r="M43" s="36">
        <v>1.031680406388903E-2</v>
      </c>
      <c r="N43" s="8"/>
      <c r="O43" s="17"/>
      <c r="P43" s="8"/>
      <c r="Q43" s="16"/>
      <c r="R43" s="22"/>
    </row>
    <row r="44" spans="1:18" ht="11.25" customHeight="1" x14ac:dyDescent="0.2">
      <c r="A44" s="20">
        <v>2.5000000000000001E-2</v>
      </c>
      <c r="B44" s="20">
        <v>2.5000000000000001E-2</v>
      </c>
      <c r="C44" s="8">
        <v>2</v>
      </c>
      <c r="D44" s="8">
        <v>24</v>
      </c>
      <c r="E44" s="9" t="s">
        <v>14</v>
      </c>
      <c r="F44" s="10" t="s">
        <v>22</v>
      </c>
      <c r="G44" s="10"/>
      <c r="H44" s="8">
        <v>9.6391094689999992</v>
      </c>
      <c r="I44" s="21">
        <v>3.1074357624142439E-2</v>
      </c>
      <c r="J44" s="11"/>
      <c r="K44" s="12"/>
      <c r="L44" s="8">
        <v>295792.65999999997</v>
      </c>
      <c r="M44" s="36">
        <v>3.9434097464683212E-4</v>
      </c>
      <c r="N44" s="8"/>
      <c r="O44" s="17"/>
      <c r="P44" s="8"/>
      <c r="Q44" s="16"/>
      <c r="R44" s="22"/>
    </row>
    <row r="45" spans="1:18" ht="11.25" customHeight="1" x14ac:dyDescent="0.2">
      <c r="A45" s="20">
        <v>2.5000000000000001E-2</v>
      </c>
      <c r="B45" s="20">
        <v>2.5000000000000001E-2</v>
      </c>
      <c r="C45" s="8">
        <v>2</v>
      </c>
      <c r="D45" s="8">
        <v>24</v>
      </c>
      <c r="E45" s="9" t="s">
        <v>16</v>
      </c>
      <c r="F45" s="10" t="s">
        <v>22</v>
      </c>
      <c r="G45" s="10"/>
      <c r="H45" s="8">
        <v>9.0884033290000001</v>
      </c>
      <c r="I45" s="21">
        <v>2.8574357624142441E-2</v>
      </c>
      <c r="J45" s="11"/>
      <c r="K45" s="12"/>
      <c r="L45" s="8">
        <v>353882.34</v>
      </c>
      <c r="M45" s="36">
        <v>4.717842115010615E-4</v>
      </c>
      <c r="N45" s="8"/>
      <c r="O45" s="17"/>
      <c r="P45" s="8"/>
      <c r="Q45" s="16"/>
      <c r="R45" s="22"/>
    </row>
    <row r="46" spans="1:18" ht="11.25" customHeight="1" x14ac:dyDescent="0.2">
      <c r="A46" s="20">
        <v>2.5000000000000001E-2</v>
      </c>
      <c r="B46" s="20">
        <v>2.5000000000000001E-2</v>
      </c>
      <c r="C46" s="8">
        <v>2</v>
      </c>
      <c r="D46" s="8">
        <v>24</v>
      </c>
      <c r="E46" s="9" t="s">
        <v>17</v>
      </c>
      <c r="F46" s="10" t="s">
        <v>22</v>
      </c>
      <c r="G46" s="10"/>
      <c r="H46" s="8">
        <v>8.0943015060000008</v>
      </c>
      <c r="I46" s="21">
        <v>2.6074357624142439E-2</v>
      </c>
      <c r="J46" s="11"/>
      <c r="K46" s="12"/>
      <c r="L46" s="8">
        <v>880543.45</v>
      </c>
      <c r="M46" s="36">
        <v>1.17391135497373E-3</v>
      </c>
      <c r="N46" s="8"/>
      <c r="O46" s="17"/>
      <c r="P46" s="8"/>
      <c r="Q46" s="16"/>
      <c r="R46" s="22"/>
    </row>
    <row r="47" spans="1:18" ht="11.25" customHeight="1" x14ac:dyDescent="0.2">
      <c r="A47" s="20">
        <v>2.5000000000000001E-2</v>
      </c>
      <c r="B47" s="20">
        <v>2.5000000000000001E-2</v>
      </c>
      <c r="C47" s="8">
        <v>2</v>
      </c>
      <c r="D47" s="8">
        <v>24</v>
      </c>
      <c r="E47" s="9" t="s">
        <v>18</v>
      </c>
      <c r="F47" s="10" t="s">
        <v>22</v>
      </c>
      <c r="G47" s="10"/>
      <c r="H47" s="8">
        <v>6.9578021129999996</v>
      </c>
      <c r="I47" s="21">
        <v>2.357435762414244E-2</v>
      </c>
      <c r="J47" s="11"/>
      <c r="K47" s="12"/>
      <c r="L47" s="8">
        <v>1204356.6000000001</v>
      </c>
      <c r="M47" s="36">
        <v>1.605608318564582E-3</v>
      </c>
      <c r="N47" s="8"/>
      <c r="O47" s="17"/>
      <c r="P47" s="8"/>
      <c r="Q47" s="16"/>
      <c r="R47" s="22"/>
    </row>
    <row r="48" spans="1:18" ht="11.25" customHeight="1" x14ac:dyDescent="0.2">
      <c r="A48" s="20">
        <v>2.5000000000000001E-2</v>
      </c>
      <c r="B48" s="20">
        <v>2.5000000000000001E-2</v>
      </c>
      <c r="C48" s="8">
        <v>2</v>
      </c>
      <c r="D48" s="8">
        <v>24</v>
      </c>
      <c r="E48" s="9" t="s">
        <v>19</v>
      </c>
      <c r="F48" s="10" t="s">
        <v>22</v>
      </c>
      <c r="G48" s="10"/>
      <c r="H48" s="8">
        <v>6.7353962129999996</v>
      </c>
      <c r="I48" s="21">
        <v>2.1074357624142438E-2</v>
      </c>
      <c r="J48" s="11"/>
      <c r="K48" s="12"/>
      <c r="L48" s="8">
        <v>833885.24999999988</v>
      </c>
      <c r="M48" s="36">
        <v>1.1117081885284681E-3</v>
      </c>
      <c r="N48" s="8"/>
      <c r="O48" s="17"/>
      <c r="P48" s="8"/>
      <c r="Q48" s="16"/>
      <c r="R48" s="22"/>
    </row>
    <row r="49" spans="1:18" ht="11.25" customHeight="1" x14ac:dyDescent="0.2">
      <c r="A49" s="20">
        <v>2.5000000000000001E-2</v>
      </c>
      <c r="B49" s="20">
        <v>2.5000000000000001E-2</v>
      </c>
      <c r="C49" s="8">
        <v>2</v>
      </c>
      <c r="D49" s="8">
        <v>24</v>
      </c>
      <c r="E49" s="9" t="s">
        <v>20</v>
      </c>
      <c r="F49" s="10" t="s">
        <v>22</v>
      </c>
      <c r="G49" s="10"/>
      <c r="H49" s="8">
        <v>6.4919637139999997</v>
      </c>
      <c r="I49" s="21">
        <v>1.8574357624142439E-2</v>
      </c>
      <c r="J49" s="11"/>
      <c r="K49" s="12"/>
      <c r="L49" s="8">
        <v>945476.1599999998</v>
      </c>
      <c r="M49" s="36">
        <v>1.2604774927131191E-3</v>
      </c>
      <c r="N49" s="8"/>
      <c r="O49" s="17"/>
      <c r="P49" s="8"/>
      <c r="Q49" s="16"/>
      <c r="R49" s="22"/>
    </row>
    <row r="50" spans="1:18" ht="11.25" customHeight="1" x14ac:dyDescent="0.2">
      <c r="A50" s="20">
        <v>0.03</v>
      </c>
      <c r="B50" s="20">
        <v>0.03</v>
      </c>
      <c r="C50" s="8">
        <v>2</v>
      </c>
      <c r="D50" s="8">
        <v>24</v>
      </c>
      <c r="E50" s="9" t="s">
        <v>21</v>
      </c>
      <c r="F50" s="10" t="s">
        <v>22</v>
      </c>
      <c r="G50" s="10"/>
      <c r="H50" s="8">
        <v>6.2565737700000001</v>
      </c>
      <c r="I50" s="23">
        <v>1.607435762414244E-2</v>
      </c>
      <c r="J50" s="11"/>
      <c r="K50" s="12"/>
      <c r="L50" s="8">
        <v>635057.1</v>
      </c>
      <c r="M50" s="36">
        <v>8.4663708616160608E-4</v>
      </c>
      <c r="N50" s="8"/>
      <c r="O50" s="17"/>
      <c r="P50" s="8"/>
      <c r="Q50" s="16"/>
      <c r="R50" s="22"/>
    </row>
    <row r="51" spans="1:18" ht="11.25" customHeight="1" x14ac:dyDescent="0.2">
      <c r="A51" s="20">
        <v>0.03</v>
      </c>
      <c r="B51" s="20">
        <v>0.03</v>
      </c>
      <c r="C51" s="8">
        <v>2</v>
      </c>
      <c r="D51" s="8">
        <v>24</v>
      </c>
      <c r="E51" s="9" t="s">
        <v>14</v>
      </c>
      <c r="F51" s="10" t="s">
        <v>23</v>
      </c>
      <c r="G51" s="10"/>
      <c r="H51" s="8">
        <v>8.6664574289999994</v>
      </c>
      <c r="I51" s="23">
        <v>2.6074357624142439E-2</v>
      </c>
      <c r="J51" s="11"/>
      <c r="K51" s="12"/>
      <c r="L51" s="8">
        <v>972081.89</v>
      </c>
      <c r="M51" s="36">
        <v>1.2959473704963959E-3</v>
      </c>
      <c r="N51" s="8"/>
      <c r="O51" s="17"/>
      <c r="P51" s="8"/>
      <c r="Q51" s="16"/>
      <c r="R51" s="22"/>
    </row>
    <row r="52" spans="1:18" ht="11.25" customHeight="1" x14ac:dyDescent="0.2">
      <c r="A52" s="20">
        <v>0.03</v>
      </c>
      <c r="B52" s="20">
        <v>0.03</v>
      </c>
      <c r="C52" s="8">
        <v>2</v>
      </c>
      <c r="D52" s="8">
        <v>24</v>
      </c>
      <c r="E52" s="9" t="s">
        <v>16</v>
      </c>
      <c r="F52" s="10" t="s">
        <v>23</v>
      </c>
      <c r="G52" s="10"/>
      <c r="H52" s="8">
        <v>9.8193037469999993</v>
      </c>
      <c r="I52" s="23">
        <v>2.357435762414244E-2</v>
      </c>
      <c r="J52" s="11"/>
      <c r="K52" s="12"/>
      <c r="L52" s="8">
        <v>1925425.44</v>
      </c>
      <c r="M52" s="36">
        <v>2.566913406909439E-3</v>
      </c>
      <c r="N52" s="8"/>
      <c r="O52" s="17"/>
      <c r="P52" s="8"/>
      <c r="Q52" s="16"/>
      <c r="R52" s="22"/>
    </row>
    <row r="53" spans="1:18" ht="11.25" customHeight="1" x14ac:dyDescent="0.2">
      <c r="A53" s="20">
        <v>0.03</v>
      </c>
      <c r="B53" s="20">
        <v>0.03</v>
      </c>
      <c r="C53" s="8">
        <v>2</v>
      </c>
      <c r="D53" s="8">
        <v>24</v>
      </c>
      <c r="E53" s="9" t="s">
        <v>17</v>
      </c>
      <c r="F53" s="10" t="s">
        <v>23</v>
      </c>
      <c r="G53" s="10"/>
      <c r="H53" s="8">
        <v>9.1002042860000003</v>
      </c>
      <c r="I53" s="23">
        <v>2.1074357624142438E-2</v>
      </c>
      <c r="J53" s="11"/>
      <c r="K53" s="12"/>
      <c r="L53" s="8">
        <v>2926119.13</v>
      </c>
      <c r="M53" s="36">
        <v>3.9010050812516451E-3</v>
      </c>
      <c r="N53" s="8"/>
      <c r="O53" s="17"/>
      <c r="P53" s="8"/>
      <c r="Q53" s="16"/>
      <c r="R53" s="22"/>
    </row>
    <row r="54" spans="1:18" ht="11.25" customHeight="1" x14ac:dyDescent="0.2">
      <c r="A54" s="20">
        <v>0.03</v>
      </c>
      <c r="B54" s="20">
        <v>0.03</v>
      </c>
      <c r="C54" s="8">
        <v>2</v>
      </c>
      <c r="D54" s="8">
        <v>24</v>
      </c>
      <c r="E54" s="9" t="s">
        <v>18</v>
      </c>
      <c r="F54" s="10" t="s">
        <v>23</v>
      </c>
      <c r="G54" s="10"/>
      <c r="H54" s="8">
        <v>8.7554031250000008</v>
      </c>
      <c r="I54" s="23">
        <v>1.8574357624142439E-2</v>
      </c>
      <c r="J54" s="11"/>
      <c r="K54" s="12"/>
      <c r="L54" s="8">
        <v>2151008.330000001</v>
      </c>
      <c r="M54" s="36">
        <v>2.867653042254851E-3</v>
      </c>
      <c r="N54" s="8"/>
      <c r="O54" s="17"/>
      <c r="P54" s="8"/>
      <c r="Q54" s="16"/>
      <c r="R54" s="22"/>
    </row>
    <row r="55" spans="1:18" ht="11.25" customHeight="1" x14ac:dyDescent="0.2">
      <c r="A55" s="20">
        <v>0.03</v>
      </c>
      <c r="B55" s="20">
        <v>0.03</v>
      </c>
      <c r="C55" s="8">
        <v>2</v>
      </c>
      <c r="D55" s="8">
        <v>24</v>
      </c>
      <c r="E55" s="9" t="s">
        <v>19</v>
      </c>
      <c r="F55" s="10" t="s">
        <v>23</v>
      </c>
      <c r="G55" s="10"/>
      <c r="H55" s="8">
        <v>8.0374306949999994</v>
      </c>
      <c r="I55" s="23">
        <v>1.607435762414244E-2</v>
      </c>
      <c r="J55" s="11"/>
      <c r="K55" s="12"/>
      <c r="L55" s="8">
        <v>1854615.99</v>
      </c>
      <c r="M55" s="36">
        <v>2.472512594099527E-3</v>
      </c>
      <c r="N55" s="8"/>
      <c r="O55" s="17"/>
      <c r="P55" s="8"/>
      <c r="Q55" s="16"/>
      <c r="R55" s="22"/>
    </row>
    <row r="56" spans="1:18" ht="11.25" customHeight="1" x14ac:dyDescent="0.2">
      <c r="A56" s="20">
        <v>0.03</v>
      </c>
      <c r="B56" s="20">
        <v>0.03</v>
      </c>
      <c r="C56" s="8">
        <v>2</v>
      </c>
      <c r="D56" s="8">
        <v>24</v>
      </c>
      <c r="E56" s="9" t="s">
        <v>20</v>
      </c>
      <c r="F56" s="10" t="s">
        <v>23</v>
      </c>
      <c r="G56" s="10"/>
      <c r="H56" s="8">
        <v>7.8686812330000002</v>
      </c>
      <c r="I56" s="23">
        <v>1.357435762414244E-2</v>
      </c>
      <c r="J56" s="11"/>
      <c r="K56" s="12"/>
      <c r="L56" s="8">
        <v>1426981.39</v>
      </c>
      <c r="M56" s="36">
        <v>1.902404312992388E-3</v>
      </c>
      <c r="N56" s="8"/>
      <c r="O56" s="17"/>
      <c r="P56" s="8"/>
      <c r="Q56" s="16"/>
      <c r="R56" s="22"/>
    </row>
    <row r="57" spans="1:18" ht="11.25" customHeight="1" x14ac:dyDescent="0.2">
      <c r="A57" s="20">
        <v>0.03</v>
      </c>
      <c r="B57" s="20">
        <v>0.03</v>
      </c>
      <c r="C57" s="8">
        <v>2</v>
      </c>
      <c r="D57" s="8">
        <v>24</v>
      </c>
      <c r="E57" s="9" t="s">
        <v>21</v>
      </c>
      <c r="F57" s="10" t="s">
        <v>23</v>
      </c>
      <c r="G57" s="10"/>
      <c r="H57" s="8">
        <v>8.8190177129999991</v>
      </c>
      <c r="I57" s="23">
        <v>1.1074357624142439E-2</v>
      </c>
      <c r="J57" s="11"/>
      <c r="K57" s="12"/>
      <c r="L57" s="8">
        <v>1056816.73</v>
      </c>
      <c r="M57" s="36">
        <v>1.4089130519035801E-3</v>
      </c>
      <c r="N57" s="8"/>
      <c r="O57" s="17"/>
      <c r="P57" s="8"/>
      <c r="Q57" s="16"/>
      <c r="R57" s="22"/>
    </row>
    <row r="58" spans="1:18" ht="11.25" customHeight="1" x14ac:dyDescent="0.2">
      <c r="A58" s="20">
        <v>0.03</v>
      </c>
      <c r="B58" s="20">
        <v>0.03</v>
      </c>
      <c r="C58" s="8">
        <v>2</v>
      </c>
      <c r="D58" s="8">
        <v>36</v>
      </c>
      <c r="E58" s="9" t="s">
        <v>14</v>
      </c>
      <c r="F58" s="10" t="s">
        <v>22</v>
      </c>
      <c r="G58" s="10"/>
      <c r="H58" s="8">
        <v>10.916685859999999</v>
      </c>
      <c r="I58" s="23">
        <v>4.1175662369123227E-2</v>
      </c>
      <c r="J58" s="11"/>
      <c r="K58" s="12"/>
      <c r="L58" s="8">
        <v>139170.06</v>
      </c>
      <c r="M58" s="36">
        <v>1.8553691326234431E-4</v>
      </c>
      <c r="N58" s="8"/>
      <c r="O58" s="17"/>
      <c r="P58" s="8"/>
      <c r="Q58" s="16"/>
      <c r="R58" s="22"/>
    </row>
    <row r="59" spans="1:18" ht="11.25" customHeight="1" x14ac:dyDescent="0.2">
      <c r="A59" s="20">
        <v>0.03</v>
      </c>
      <c r="B59" s="20">
        <v>0.03</v>
      </c>
      <c r="C59" s="8">
        <v>2</v>
      </c>
      <c r="D59" s="8">
        <v>36</v>
      </c>
      <c r="E59" s="9" t="s">
        <v>16</v>
      </c>
      <c r="F59" s="10" t="s">
        <v>22</v>
      </c>
      <c r="G59" s="10"/>
      <c r="H59" s="8">
        <v>10.52380462</v>
      </c>
      <c r="I59" s="23">
        <v>3.8675662369123225E-2</v>
      </c>
      <c r="J59" s="11"/>
      <c r="K59" s="12"/>
      <c r="L59" s="8">
        <v>452167.34</v>
      </c>
      <c r="M59" s="36">
        <v>6.0281451730095491E-4</v>
      </c>
      <c r="N59" s="8"/>
      <c r="O59" s="17"/>
      <c r="P59" s="8"/>
      <c r="Q59" s="16"/>
      <c r="R59" s="22"/>
    </row>
    <row r="60" spans="1:18" ht="11.25" customHeight="1" x14ac:dyDescent="0.2">
      <c r="A60" s="20">
        <f>'[1]DV01 VS RA Tier X Term perf'!K10</f>
        <v>6.5000000000000002E-2</v>
      </c>
      <c r="B60" s="20">
        <f>'[1]DV01 VS RA Tier X Term perf'!L10</f>
        <v>0.06</v>
      </c>
      <c r="C60" s="8">
        <v>2</v>
      </c>
      <c r="D60" s="8">
        <v>36</v>
      </c>
      <c r="E60" s="9" t="s">
        <v>17</v>
      </c>
      <c r="F60" s="10" t="s">
        <v>22</v>
      </c>
      <c r="G60" s="10"/>
      <c r="H60" s="8">
        <v>9.5691739640000009</v>
      </c>
      <c r="I60" s="24">
        <v>3.6175662369123222E-2</v>
      </c>
      <c r="J60" s="11"/>
      <c r="K60" s="12"/>
      <c r="L60" s="8">
        <v>1042491.97</v>
      </c>
      <c r="M60" s="36">
        <v>1.38981575645351E-3</v>
      </c>
      <c r="N60" s="8"/>
      <c r="O60" s="17"/>
      <c r="P60" s="8"/>
      <c r="Q60" s="16"/>
      <c r="R60" s="22"/>
    </row>
    <row r="61" spans="1:18" ht="11.25" customHeight="1" x14ac:dyDescent="0.2">
      <c r="A61" s="20">
        <v>6.5000000000000002E-2</v>
      </c>
      <c r="B61" s="20">
        <v>0.06</v>
      </c>
      <c r="C61" s="8">
        <v>2</v>
      </c>
      <c r="D61" s="8">
        <v>36</v>
      </c>
      <c r="E61" s="9" t="s">
        <v>18</v>
      </c>
      <c r="F61" s="10" t="s">
        <v>22</v>
      </c>
      <c r="G61" s="10"/>
      <c r="H61" s="8">
        <v>9.3314219079999994</v>
      </c>
      <c r="I61" s="24">
        <v>3.367566236912322E-2</v>
      </c>
      <c r="J61" s="11"/>
      <c r="K61" s="12"/>
      <c r="L61" s="8">
        <v>813076.59999999986</v>
      </c>
      <c r="M61" s="36">
        <v>1.083966785742866E-3</v>
      </c>
      <c r="N61" s="8"/>
      <c r="O61" s="17"/>
      <c r="P61" s="8"/>
      <c r="Q61" s="16"/>
      <c r="R61" s="22"/>
    </row>
    <row r="62" spans="1:18" ht="11.25" customHeight="1" x14ac:dyDescent="0.2">
      <c r="A62" s="20">
        <v>6.5000000000000002E-2</v>
      </c>
      <c r="B62" s="20">
        <v>0.06</v>
      </c>
      <c r="C62" s="8">
        <v>2</v>
      </c>
      <c r="D62" s="8">
        <v>36</v>
      </c>
      <c r="E62" s="9" t="s">
        <v>19</v>
      </c>
      <c r="F62" s="10" t="s">
        <v>22</v>
      </c>
      <c r="G62" s="10"/>
      <c r="H62" s="8">
        <v>7.9783092670000002</v>
      </c>
      <c r="I62" s="24">
        <v>3.1175662369123221E-2</v>
      </c>
      <c r="J62" s="11"/>
      <c r="K62" s="12"/>
      <c r="L62" s="8">
        <v>1311937.5900000001</v>
      </c>
      <c r="M62" s="36">
        <v>1.7490317302546179E-3</v>
      </c>
      <c r="N62" s="8"/>
      <c r="O62" s="17"/>
      <c r="P62" s="8"/>
      <c r="Q62" s="16"/>
      <c r="R62" s="22"/>
    </row>
    <row r="63" spans="1:18" ht="11.25" customHeight="1" x14ac:dyDescent="0.2">
      <c r="A63" s="20">
        <v>6.5000000000000002E-2</v>
      </c>
      <c r="B63" s="20">
        <v>0.06</v>
      </c>
      <c r="C63" s="8">
        <v>2</v>
      </c>
      <c r="D63" s="8">
        <v>36</v>
      </c>
      <c r="E63" s="9" t="s">
        <v>20</v>
      </c>
      <c r="F63" s="10" t="s">
        <v>22</v>
      </c>
      <c r="G63" s="10"/>
      <c r="H63" s="8">
        <v>8.9468723459999993</v>
      </c>
      <c r="I63" s="24">
        <v>2.8675662369123223E-2</v>
      </c>
      <c r="J63" s="11"/>
      <c r="K63" s="12"/>
      <c r="L63" s="8">
        <v>646720.89</v>
      </c>
      <c r="M63" s="36">
        <v>8.621868645661006E-4</v>
      </c>
      <c r="N63" s="8"/>
      <c r="O63" s="17"/>
      <c r="P63" s="8"/>
      <c r="Q63" s="16"/>
      <c r="R63" s="22"/>
    </row>
    <row r="64" spans="1:18" ht="11.25" customHeight="1" x14ac:dyDescent="0.2">
      <c r="A64" s="20">
        <v>6.5000000000000002E-2</v>
      </c>
      <c r="B64" s="20">
        <v>0.06</v>
      </c>
      <c r="C64" s="8">
        <v>2</v>
      </c>
      <c r="D64" s="8">
        <v>36</v>
      </c>
      <c r="E64" s="9" t="s">
        <v>21</v>
      </c>
      <c r="F64" s="10" t="s">
        <v>22</v>
      </c>
      <c r="G64" s="10"/>
      <c r="H64" s="8">
        <v>8.7539844710000008</v>
      </c>
      <c r="I64" s="24">
        <v>2.6175662369123224E-2</v>
      </c>
      <c r="J64" s="11"/>
      <c r="K64" s="12"/>
      <c r="L64" s="8">
        <v>425808.86</v>
      </c>
      <c r="M64" s="36">
        <v>5.6767426502623989E-4</v>
      </c>
      <c r="N64" s="8"/>
      <c r="O64" s="17"/>
      <c r="P64" s="8"/>
      <c r="Q64" s="16"/>
      <c r="R64" s="22"/>
    </row>
    <row r="65" spans="1:18" ht="11.25" customHeight="1" x14ac:dyDescent="0.2">
      <c r="A65" s="20">
        <v>6.5000000000000002E-2</v>
      </c>
      <c r="B65" s="20">
        <v>0.06</v>
      </c>
      <c r="C65" s="8">
        <v>2</v>
      </c>
      <c r="D65" s="8">
        <v>36</v>
      </c>
      <c r="E65" s="9" t="s">
        <v>14</v>
      </c>
      <c r="F65" s="10" t="s">
        <v>23</v>
      </c>
      <c r="G65" s="10"/>
      <c r="H65" s="8">
        <v>11.013277309999999</v>
      </c>
      <c r="I65" s="24">
        <v>3.6175662369123229E-2</v>
      </c>
      <c r="J65" s="11"/>
      <c r="K65" s="12"/>
      <c r="L65" s="8">
        <v>1277670.24</v>
      </c>
      <c r="M65" s="36">
        <v>1.703347634518219E-3</v>
      </c>
      <c r="N65" s="8"/>
      <c r="O65" s="17"/>
      <c r="P65" s="8"/>
      <c r="Q65" s="16"/>
      <c r="R65" s="22"/>
    </row>
    <row r="66" spans="1:18" ht="11.25" customHeight="1" x14ac:dyDescent="0.2">
      <c r="A66" s="20">
        <v>6.5000000000000002E-2</v>
      </c>
      <c r="B66" s="20">
        <v>0.06</v>
      </c>
      <c r="C66" s="8">
        <v>2</v>
      </c>
      <c r="D66" s="8">
        <v>36</v>
      </c>
      <c r="E66" s="9" t="s">
        <v>16</v>
      </c>
      <c r="F66" s="10" t="s">
        <v>23</v>
      </c>
      <c r="G66" s="10"/>
      <c r="H66" s="8">
        <v>11.26220693</v>
      </c>
      <c r="I66" s="24">
        <v>3.367566236912322E-2</v>
      </c>
      <c r="J66" s="11"/>
      <c r="K66" s="12"/>
      <c r="L66" s="8">
        <v>1689262.43</v>
      </c>
      <c r="M66" s="36">
        <v>2.252068706101347E-3</v>
      </c>
      <c r="N66" s="8"/>
      <c r="O66" s="17"/>
      <c r="P66" s="8"/>
      <c r="Q66" s="16"/>
      <c r="R66" s="22"/>
    </row>
    <row r="67" spans="1:18" ht="11.25" customHeight="1" x14ac:dyDescent="0.2">
      <c r="A67" s="20">
        <v>6.5000000000000002E-2</v>
      </c>
      <c r="B67" s="20">
        <v>0.06</v>
      </c>
      <c r="C67" s="8">
        <v>2</v>
      </c>
      <c r="D67" s="8">
        <v>36</v>
      </c>
      <c r="E67" s="9" t="s">
        <v>17</v>
      </c>
      <c r="F67" s="10" t="s">
        <v>23</v>
      </c>
      <c r="G67" s="10"/>
      <c r="H67" s="8">
        <v>10.17905214</v>
      </c>
      <c r="I67" s="24">
        <v>3.1175662369123221E-2</v>
      </c>
      <c r="J67" s="11"/>
      <c r="K67" s="12"/>
      <c r="L67" s="8">
        <v>2653831.5299999998</v>
      </c>
      <c r="M67" s="36">
        <v>3.538000273869856E-3</v>
      </c>
      <c r="N67" s="8"/>
      <c r="O67" s="17"/>
      <c r="P67" s="8"/>
      <c r="Q67" s="16"/>
      <c r="R67" s="22"/>
    </row>
    <row r="68" spans="1:18" ht="11.25" customHeight="1" x14ac:dyDescent="0.2">
      <c r="A68" s="20">
        <v>6.5000000000000002E-2</v>
      </c>
      <c r="B68" s="20">
        <v>0.06</v>
      </c>
      <c r="C68" s="8">
        <v>2</v>
      </c>
      <c r="D68" s="8">
        <v>36</v>
      </c>
      <c r="E68" s="9" t="s">
        <v>18</v>
      </c>
      <c r="F68" s="10" t="s">
        <v>23</v>
      </c>
      <c r="G68" s="10"/>
      <c r="H68" s="8">
        <v>10.41351601</v>
      </c>
      <c r="I68" s="24">
        <v>2.8675662369123223E-2</v>
      </c>
      <c r="J68" s="11"/>
      <c r="K68" s="12"/>
      <c r="L68" s="8">
        <v>2719445.13</v>
      </c>
      <c r="M68" s="36">
        <v>3.6254741515992341E-3</v>
      </c>
      <c r="N68" s="8"/>
      <c r="O68" s="17"/>
      <c r="P68" s="8"/>
      <c r="Q68" s="16"/>
      <c r="R68" s="22"/>
    </row>
    <row r="69" spans="1:18" ht="11.25" customHeight="1" x14ac:dyDescent="0.2">
      <c r="A69" s="20">
        <v>6.5000000000000002E-2</v>
      </c>
      <c r="B69" s="20">
        <v>0.06</v>
      </c>
      <c r="C69" s="8">
        <v>2</v>
      </c>
      <c r="D69" s="8">
        <v>36</v>
      </c>
      <c r="E69" s="9" t="s">
        <v>19</v>
      </c>
      <c r="F69" s="10" t="s">
        <v>23</v>
      </c>
      <c r="G69" s="10"/>
      <c r="H69" s="8">
        <v>9.4632912050000009</v>
      </c>
      <c r="I69" s="24">
        <v>2.6175662369123224E-2</v>
      </c>
      <c r="J69" s="11"/>
      <c r="K69" s="12"/>
      <c r="L69" s="8">
        <v>1947132.61</v>
      </c>
      <c r="M69" s="36">
        <v>2.5958526867909089E-3</v>
      </c>
      <c r="N69" s="8"/>
      <c r="O69" s="17"/>
      <c r="P69" s="8"/>
      <c r="Q69" s="16"/>
      <c r="R69" s="22"/>
    </row>
    <row r="70" spans="1:18" ht="11.25" customHeight="1" x14ac:dyDescent="0.2">
      <c r="A70" s="20">
        <v>6.5000000000000002E-2</v>
      </c>
      <c r="B70" s="20">
        <v>0.06</v>
      </c>
      <c r="C70" s="8">
        <v>2</v>
      </c>
      <c r="D70" s="8">
        <v>36</v>
      </c>
      <c r="E70" s="9" t="s">
        <v>20</v>
      </c>
      <c r="F70" s="10" t="s">
        <v>23</v>
      </c>
      <c r="G70" s="10"/>
      <c r="H70" s="8">
        <v>9.0588373319999995</v>
      </c>
      <c r="I70" s="24">
        <v>2.3675662369123222E-2</v>
      </c>
      <c r="J70" s="11"/>
      <c r="K70" s="12"/>
      <c r="L70" s="8">
        <v>1419154.41</v>
      </c>
      <c r="M70" s="36">
        <v>1.8919696425656739E-3</v>
      </c>
      <c r="N70" s="8"/>
      <c r="O70" s="17"/>
      <c r="P70" s="8"/>
      <c r="Q70" s="16"/>
      <c r="R70" s="22"/>
    </row>
    <row r="71" spans="1:18" ht="11.25" customHeight="1" x14ac:dyDescent="0.2">
      <c r="A71" s="20">
        <v>6.5000000000000002E-2</v>
      </c>
      <c r="B71" s="20">
        <v>0.06</v>
      </c>
      <c r="C71" s="8">
        <v>2</v>
      </c>
      <c r="D71" s="8">
        <v>36</v>
      </c>
      <c r="E71" s="9" t="s">
        <v>21</v>
      </c>
      <c r="F71" s="10" t="s">
        <v>23</v>
      </c>
      <c r="G71" s="10"/>
      <c r="H71" s="8">
        <v>9.9066391970000005</v>
      </c>
      <c r="I71" s="24">
        <v>2.1175662369123223E-2</v>
      </c>
      <c r="J71" s="11"/>
      <c r="K71" s="12"/>
      <c r="L71" s="8">
        <v>1264546.45</v>
      </c>
      <c r="M71" s="36">
        <v>1.6858514324837931E-3</v>
      </c>
      <c r="N71" s="8"/>
      <c r="O71" s="17"/>
      <c r="P71" s="8"/>
      <c r="Q71" s="16"/>
      <c r="R71" s="22"/>
    </row>
    <row r="72" spans="1:18" ht="11.25" customHeight="1" x14ac:dyDescent="0.2">
      <c r="A72" s="20">
        <v>6.5000000000000002E-2</v>
      </c>
      <c r="B72" s="20">
        <v>0.06</v>
      </c>
      <c r="C72" s="8">
        <v>2</v>
      </c>
      <c r="D72" s="8">
        <v>48</v>
      </c>
      <c r="E72" s="9" t="s">
        <v>14</v>
      </c>
      <c r="F72" s="10" t="s">
        <v>22</v>
      </c>
      <c r="G72" s="10"/>
      <c r="H72" s="8">
        <v>12.171392450000001</v>
      </c>
      <c r="I72" s="24">
        <v>7.5625667835402047E-2</v>
      </c>
      <c r="J72" s="11"/>
      <c r="K72" s="12"/>
      <c r="L72" s="8">
        <v>1106004.55</v>
      </c>
      <c r="M72" s="36">
        <v>1.4744886239260659E-3</v>
      </c>
      <c r="N72" s="8"/>
      <c r="O72" s="17"/>
      <c r="P72" s="8"/>
      <c r="Q72" s="16"/>
      <c r="R72" s="22"/>
    </row>
    <row r="73" spans="1:18" ht="11.25" customHeight="1" x14ac:dyDescent="0.2">
      <c r="A73" s="20">
        <v>6.5000000000000002E-2</v>
      </c>
      <c r="B73" s="20">
        <v>0.06</v>
      </c>
      <c r="C73" s="8">
        <v>2</v>
      </c>
      <c r="D73" s="8">
        <v>48</v>
      </c>
      <c r="E73" s="9" t="s">
        <v>16</v>
      </c>
      <c r="F73" s="10" t="s">
        <v>22</v>
      </c>
      <c r="G73" s="10"/>
      <c r="H73" s="8">
        <v>11.87960393</v>
      </c>
      <c r="I73" s="24">
        <v>7.3125667835402045E-2</v>
      </c>
      <c r="J73" s="11"/>
      <c r="K73" s="12"/>
      <c r="L73" s="8">
        <v>1141260.8600000001</v>
      </c>
      <c r="M73" s="36">
        <v>1.5214911683700391E-3</v>
      </c>
      <c r="N73" s="8"/>
      <c r="O73" s="17"/>
      <c r="P73" s="8"/>
      <c r="Q73" s="16"/>
      <c r="R73" s="22"/>
    </row>
    <row r="74" spans="1:18" ht="11.25" customHeight="1" x14ac:dyDescent="0.2">
      <c r="A74" s="20">
        <v>7.7499999999999999E-2</v>
      </c>
      <c r="B74" s="20">
        <v>5.8999999999999997E-2</v>
      </c>
      <c r="C74" s="8">
        <v>2</v>
      </c>
      <c r="D74" s="8">
        <v>48</v>
      </c>
      <c r="E74" s="9" t="s">
        <v>17</v>
      </c>
      <c r="F74" s="10" t="s">
        <v>22</v>
      </c>
      <c r="G74" s="10"/>
      <c r="H74" s="8">
        <v>10.0127688</v>
      </c>
      <c r="I74" s="25">
        <v>7.0625667835402042E-2</v>
      </c>
      <c r="J74" s="11"/>
      <c r="K74" s="12"/>
      <c r="L74" s="8">
        <v>1695832.54</v>
      </c>
      <c r="M74" s="36">
        <v>2.260827759084396E-3</v>
      </c>
      <c r="N74" s="8"/>
      <c r="O74" s="17"/>
      <c r="P74" s="8"/>
      <c r="Q74" s="16"/>
      <c r="R74" s="22"/>
    </row>
    <row r="75" spans="1:18" ht="11.25" customHeight="1" x14ac:dyDescent="0.2">
      <c r="A75" s="20">
        <v>7.7499999999999999E-2</v>
      </c>
      <c r="B75" s="20">
        <v>5.8999999999999997E-2</v>
      </c>
      <c r="C75" s="8">
        <v>2</v>
      </c>
      <c r="D75" s="8">
        <v>48</v>
      </c>
      <c r="E75" s="9" t="s">
        <v>18</v>
      </c>
      <c r="F75" s="10" t="s">
        <v>22</v>
      </c>
      <c r="G75" s="10"/>
      <c r="H75" s="8">
        <v>9.5490448689999994</v>
      </c>
      <c r="I75" s="25">
        <v>6.812566783540204E-2</v>
      </c>
      <c r="J75" s="11"/>
      <c r="K75" s="12"/>
      <c r="L75" s="8">
        <v>1721529.11</v>
      </c>
      <c r="M75" s="36">
        <v>2.295085574876312E-3</v>
      </c>
      <c r="N75" s="8"/>
      <c r="O75" s="17"/>
      <c r="P75" s="8"/>
      <c r="Q75" s="16"/>
      <c r="R75" s="22"/>
    </row>
    <row r="76" spans="1:18" ht="11.25" customHeight="1" x14ac:dyDescent="0.2">
      <c r="A76" s="20">
        <v>7.7499999999999999E-2</v>
      </c>
      <c r="B76" s="20">
        <v>5.8999999999999997E-2</v>
      </c>
      <c r="C76" s="8">
        <v>2</v>
      </c>
      <c r="D76" s="8">
        <v>48</v>
      </c>
      <c r="E76" s="9" t="s">
        <v>19</v>
      </c>
      <c r="F76" s="10" t="s">
        <v>22</v>
      </c>
      <c r="G76" s="10"/>
      <c r="H76" s="8">
        <v>9.0469244209999999</v>
      </c>
      <c r="I76" s="25">
        <v>6.5625667835402052E-2</v>
      </c>
      <c r="J76" s="11"/>
      <c r="K76" s="12"/>
      <c r="L76" s="8">
        <v>1480933.09</v>
      </c>
      <c r="M76" s="36">
        <v>1.974330932002655E-3</v>
      </c>
      <c r="N76" s="8"/>
      <c r="O76" s="17"/>
      <c r="P76" s="8"/>
      <c r="Q76" s="16"/>
      <c r="R76" s="22"/>
    </row>
    <row r="77" spans="1:18" ht="11.25" customHeight="1" x14ac:dyDescent="0.2">
      <c r="A77" s="20">
        <v>7.7499999999999999E-2</v>
      </c>
      <c r="B77" s="20">
        <v>5.8999999999999997E-2</v>
      </c>
      <c r="C77" s="8">
        <v>2</v>
      </c>
      <c r="D77" s="8">
        <v>48</v>
      </c>
      <c r="E77" s="9" t="s">
        <v>20</v>
      </c>
      <c r="F77" s="10" t="s">
        <v>22</v>
      </c>
      <c r="G77" s="10"/>
      <c r="H77" s="8">
        <v>9.3265292540000004</v>
      </c>
      <c r="I77" s="25">
        <v>6.312566783540205E-2</v>
      </c>
      <c r="J77" s="11"/>
      <c r="K77" s="12"/>
      <c r="L77" s="8">
        <v>1388804.69</v>
      </c>
      <c r="M77" s="36">
        <v>1.851508401353473E-3</v>
      </c>
      <c r="N77" s="8"/>
      <c r="O77" s="17"/>
      <c r="P77" s="8"/>
      <c r="Q77" s="16"/>
      <c r="R77" s="22"/>
    </row>
    <row r="78" spans="1:18" ht="11.25" customHeight="1" x14ac:dyDescent="0.2">
      <c r="A78" s="20">
        <v>7.7499999999999999E-2</v>
      </c>
      <c r="B78" s="20">
        <v>5.8999999999999997E-2</v>
      </c>
      <c r="C78" s="8">
        <v>2</v>
      </c>
      <c r="D78" s="8">
        <v>48</v>
      </c>
      <c r="E78" s="9" t="s">
        <v>21</v>
      </c>
      <c r="F78" s="10" t="s">
        <v>22</v>
      </c>
      <c r="G78" s="10"/>
      <c r="H78" s="8">
        <v>9.6393798890000006</v>
      </c>
      <c r="I78" s="25">
        <v>6.0625667835402047E-2</v>
      </c>
      <c r="J78" s="11"/>
      <c r="K78" s="12"/>
      <c r="L78" s="8">
        <v>483036.29999999987</v>
      </c>
      <c r="M78" s="36">
        <v>6.4396799207863881E-4</v>
      </c>
      <c r="N78" s="8"/>
      <c r="O78" s="17"/>
      <c r="P78" s="8"/>
      <c r="Q78" s="16"/>
      <c r="R78" s="22"/>
    </row>
    <row r="79" spans="1:18" ht="11.25" customHeight="1" x14ac:dyDescent="0.2">
      <c r="A79" s="20">
        <v>7.7499999999999999E-2</v>
      </c>
      <c r="B79" s="20">
        <v>5.8999999999999997E-2</v>
      </c>
      <c r="C79" s="8">
        <v>2</v>
      </c>
      <c r="D79" s="8">
        <v>48</v>
      </c>
      <c r="E79" s="9" t="s">
        <v>14</v>
      </c>
      <c r="F79" s="10" t="s">
        <v>23</v>
      </c>
      <c r="G79" s="10"/>
      <c r="H79" s="8">
        <v>12.54249688</v>
      </c>
      <c r="I79" s="25">
        <v>7.0625667835402042E-2</v>
      </c>
      <c r="J79" s="11"/>
      <c r="K79" s="12"/>
      <c r="L79" s="8">
        <v>1672662.39</v>
      </c>
      <c r="M79" s="36">
        <v>2.2299380827357218E-3</v>
      </c>
      <c r="N79" s="8"/>
      <c r="O79" s="17"/>
      <c r="P79" s="8"/>
      <c r="Q79" s="16"/>
      <c r="R79" s="22"/>
    </row>
    <row r="80" spans="1:18" ht="11.25" customHeight="1" x14ac:dyDescent="0.2">
      <c r="A80" s="20">
        <v>7.7499999999999999E-2</v>
      </c>
      <c r="B80" s="20">
        <v>5.8999999999999997E-2</v>
      </c>
      <c r="C80" s="8">
        <v>2</v>
      </c>
      <c r="D80" s="8">
        <v>48</v>
      </c>
      <c r="E80" s="9" t="s">
        <v>16</v>
      </c>
      <c r="F80" s="10" t="s">
        <v>23</v>
      </c>
      <c r="G80" s="10"/>
      <c r="H80" s="8">
        <v>13.13363135</v>
      </c>
      <c r="I80" s="25">
        <v>6.812566783540204E-2</v>
      </c>
      <c r="J80" s="11"/>
      <c r="K80" s="12"/>
      <c r="L80" s="8">
        <v>2899035.02</v>
      </c>
      <c r="M80" s="36">
        <v>3.864897443101185E-3</v>
      </c>
      <c r="N80" s="8"/>
      <c r="O80" s="17"/>
      <c r="P80" s="8"/>
      <c r="Q80" s="16"/>
      <c r="R80" s="22"/>
    </row>
    <row r="81" spans="1:18" ht="11.25" customHeight="1" x14ac:dyDescent="0.2">
      <c r="A81" s="20">
        <v>8.5000000000000006E-2</v>
      </c>
      <c r="B81" s="20">
        <v>8.5000000000000006E-2</v>
      </c>
      <c r="C81" s="8">
        <v>2</v>
      </c>
      <c r="D81" s="8">
        <v>48</v>
      </c>
      <c r="E81" s="9" t="s">
        <v>17</v>
      </c>
      <c r="F81" s="10" t="s">
        <v>23</v>
      </c>
      <c r="G81" s="10"/>
      <c r="H81" s="8">
        <v>12.31173952</v>
      </c>
      <c r="I81" s="25">
        <v>6.5625667835402052E-2</v>
      </c>
      <c r="J81" s="11"/>
      <c r="K81" s="12"/>
      <c r="L81" s="8">
        <v>4247423.53</v>
      </c>
      <c r="M81" s="36">
        <v>5.662524332274127E-3</v>
      </c>
      <c r="N81" s="8"/>
      <c r="O81" s="17"/>
      <c r="P81" s="8"/>
      <c r="Q81" s="16"/>
      <c r="R81" s="22"/>
    </row>
    <row r="82" spans="1:18" ht="11.25" customHeight="1" x14ac:dyDescent="0.2">
      <c r="A82" s="20">
        <v>8.5000000000000006E-2</v>
      </c>
      <c r="B82" s="20">
        <v>8.5000000000000006E-2</v>
      </c>
      <c r="C82" s="8">
        <v>2</v>
      </c>
      <c r="D82" s="8">
        <v>48</v>
      </c>
      <c r="E82" s="9" t="s">
        <v>18</v>
      </c>
      <c r="F82" s="10" t="s">
        <v>23</v>
      </c>
      <c r="G82" s="10"/>
      <c r="H82" s="8">
        <v>12.055903519999999</v>
      </c>
      <c r="I82" s="25">
        <v>6.312566783540205E-2</v>
      </c>
      <c r="J82" s="11"/>
      <c r="K82" s="12"/>
      <c r="L82" s="8">
        <v>3916490.41</v>
      </c>
      <c r="M82" s="36">
        <v>5.2213352605651906E-3</v>
      </c>
      <c r="N82" s="8"/>
      <c r="O82" s="17"/>
      <c r="P82" s="8"/>
      <c r="Q82" s="16"/>
      <c r="R82" s="22"/>
    </row>
    <row r="83" spans="1:18" ht="11.25" customHeight="1" x14ac:dyDescent="0.2">
      <c r="A83" s="20">
        <v>8.5000000000000006E-2</v>
      </c>
      <c r="B83" s="20">
        <v>8.5000000000000006E-2</v>
      </c>
      <c r="C83" s="8">
        <v>2</v>
      </c>
      <c r="D83" s="8">
        <v>48</v>
      </c>
      <c r="E83" s="9" t="s">
        <v>19</v>
      </c>
      <c r="F83" s="10" t="s">
        <v>23</v>
      </c>
      <c r="G83" s="10"/>
      <c r="H83" s="8">
        <v>10.9295157</v>
      </c>
      <c r="I83" s="25">
        <v>6.0625667835402047E-2</v>
      </c>
      <c r="J83" s="11"/>
      <c r="K83" s="12"/>
      <c r="L83" s="8">
        <v>2690367.27</v>
      </c>
      <c r="M83" s="36">
        <v>3.586708512002078E-3</v>
      </c>
      <c r="N83" s="8"/>
      <c r="O83" s="17"/>
      <c r="P83" s="8"/>
      <c r="Q83" s="16"/>
      <c r="R83" s="22"/>
    </row>
    <row r="84" spans="1:18" ht="11.25" customHeight="1" x14ac:dyDescent="0.2">
      <c r="A84" s="20">
        <v>8.5000000000000006E-2</v>
      </c>
      <c r="B84" s="20">
        <v>8.5000000000000006E-2</v>
      </c>
      <c r="C84" s="8">
        <v>2</v>
      </c>
      <c r="D84" s="8">
        <v>48</v>
      </c>
      <c r="E84" s="9" t="s">
        <v>20</v>
      </c>
      <c r="F84" s="10" t="s">
        <v>23</v>
      </c>
      <c r="G84" s="10"/>
      <c r="H84" s="8">
        <v>10.81554008</v>
      </c>
      <c r="I84" s="25">
        <v>5.8125667835402045E-2</v>
      </c>
      <c r="J84" s="11"/>
      <c r="K84" s="12"/>
      <c r="L84" s="8">
        <v>2953553.26</v>
      </c>
      <c r="M84" s="36">
        <v>3.9375793544698771E-3</v>
      </c>
      <c r="N84" s="8"/>
      <c r="O84" s="17"/>
      <c r="P84" s="8"/>
      <c r="Q84" s="16"/>
      <c r="R84" s="22"/>
    </row>
    <row r="85" spans="1:18" ht="11.25" customHeight="1" x14ac:dyDescent="0.2">
      <c r="A85" s="20">
        <v>8.5000000000000006E-2</v>
      </c>
      <c r="B85" s="20">
        <v>8.5000000000000006E-2</v>
      </c>
      <c r="C85" s="8">
        <v>2</v>
      </c>
      <c r="D85" s="8">
        <v>48</v>
      </c>
      <c r="E85" s="9" t="s">
        <v>21</v>
      </c>
      <c r="F85" s="10" t="s">
        <v>23</v>
      </c>
      <c r="G85" s="10"/>
      <c r="H85" s="8">
        <v>11.438223689999999</v>
      </c>
      <c r="I85" s="25">
        <v>5.5625667835402043E-2</v>
      </c>
      <c r="J85" s="11"/>
      <c r="K85" s="12"/>
      <c r="L85" s="8">
        <v>1479877.33</v>
      </c>
      <c r="M85" s="36">
        <v>1.9729234277481781E-3</v>
      </c>
      <c r="N85" s="8"/>
      <c r="O85" s="17"/>
      <c r="P85" s="8"/>
      <c r="Q85" s="16"/>
      <c r="R85" s="22"/>
    </row>
    <row r="86" spans="1:18" ht="11.25" customHeight="1" x14ac:dyDescent="0.2">
      <c r="A86" s="20">
        <v>8.5000000000000006E-2</v>
      </c>
      <c r="B86" s="20">
        <v>8.5000000000000006E-2</v>
      </c>
      <c r="C86" s="8">
        <v>2</v>
      </c>
      <c r="D86" s="8">
        <v>60</v>
      </c>
      <c r="E86" s="9" t="s">
        <v>14</v>
      </c>
      <c r="F86" s="10" t="s">
        <v>22</v>
      </c>
      <c r="G86" s="10"/>
      <c r="H86" s="8">
        <v>12.60852867</v>
      </c>
      <c r="I86" s="25">
        <v>8.7401435111053374E-2</v>
      </c>
      <c r="J86" s="11"/>
      <c r="K86" s="12"/>
      <c r="L86" s="8">
        <v>2543499.9700000002</v>
      </c>
      <c r="M86" s="36">
        <v>3.3909098933827091E-3</v>
      </c>
      <c r="N86" s="8"/>
      <c r="O86" s="17"/>
      <c r="P86" s="8"/>
      <c r="Q86" s="16"/>
      <c r="R86" s="22"/>
    </row>
    <row r="87" spans="1:18" ht="11.25" customHeight="1" x14ac:dyDescent="0.2">
      <c r="A87" s="20">
        <v>8.5000000000000006E-2</v>
      </c>
      <c r="B87" s="20">
        <v>8.5000000000000006E-2</v>
      </c>
      <c r="C87" s="8">
        <v>2</v>
      </c>
      <c r="D87" s="8">
        <v>60</v>
      </c>
      <c r="E87" s="9" t="s">
        <v>16</v>
      </c>
      <c r="F87" s="10" t="s">
        <v>22</v>
      </c>
      <c r="G87" s="10"/>
      <c r="H87" s="8">
        <v>12.09813202</v>
      </c>
      <c r="I87" s="25">
        <v>8.4901435111053372E-2</v>
      </c>
      <c r="J87" s="11"/>
      <c r="K87" s="12"/>
      <c r="L87" s="8">
        <v>4149033.7599999988</v>
      </c>
      <c r="M87" s="36">
        <v>5.5313543505812806E-3</v>
      </c>
      <c r="N87" s="8"/>
      <c r="O87" s="17"/>
      <c r="P87" s="8"/>
      <c r="Q87" s="16"/>
      <c r="R87" s="22"/>
    </row>
    <row r="88" spans="1:18" ht="11.25" customHeight="1" x14ac:dyDescent="0.2">
      <c r="A88" s="20">
        <v>8.5000000000000006E-2</v>
      </c>
      <c r="B88" s="20">
        <v>8.5000000000000006E-2</v>
      </c>
      <c r="C88" s="8">
        <v>2</v>
      </c>
      <c r="D88" s="8">
        <v>60</v>
      </c>
      <c r="E88" s="9" t="s">
        <v>17</v>
      </c>
      <c r="F88" s="10" t="s">
        <v>22</v>
      </c>
      <c r="G88" s="10"/>
      <c r="H88" s="8">
        <v>11.22075841</v>
      </c>
      <c r="I88" s="25">
        <v>8.240143511105337E-2</v>
      </c>
      <c r="J88" s="11"/>
      <c r="K88" s="12"/>
      <c r="L88" s="8">
        <v>5416542.4500000002</v>
      </c>
      <c r="M88" s="36">
        <v>7.2211549432935201E-3</v>
      </c>
      <c r="N88" s="8"/>
      <c r="O88" s="17"/>
      <c r="P88" s="8"/>
      <c r="Q88" s="16"/>
      <c r="R88" s="22"/>
    </row>
    <row r="89" spans="1:18" ht="11.25" customHeight="1" x14ac:dyDescent="0.2">
      <c r="A89" s="20">
        <v>8.5000000000000006E-2</v>
      </c>
      <c r="B89" s="20">
        <v>8.5000000000000006E-2</v>
      </c>
      <c r="C89" s="8">
        <v>2</v>
      </c>
      <c r="D89" s="8">
        <v>60</v>
      </c>
      <c r="E89" s="9" t="s">
        <v>18</v>
      </c>
      <c r="F89" s="10" t="s">
        <v>22</v>
      </c>
      <c r="G89" s="10"/>
      <c r="H89" s="8">
        <v>10.580931440000001</v>
      </c>
      <c r="I89" s="25">
        <v>7.9901435111053382E-2</v>
      </c>
      <c r="J89" s="11"/>
      <c r="K89" s="12"/>
      <c r="L89" s="8">
        <v>3933252.2599999988</v>
      </c>
      <c r="M89" s="36">
        <v>5.2436816036620197E-3</v>
      </c>
      <c r="N89" s="8"/>
      <c r="O89" s="17"/>
      <c r="P89" s="8"/>
      <c r="Q89" s="16"/>
      <c r="R89" s="22"/>
    </row>
    <row r="90" spans="1:18" ht="11.25" customHeight="1" x14ac:dyDescent="0.2">
      <c r="A90" s="20">
        <v>8.5000000000000006E-2</v>
      </c>
      <c r="B90" s="20">
        <v>8.5000000000000006E-2</v>
      </c>
      <c r="C90" s="8">
        <v>2</v>
      </c>
      <c r="D90" s="8">
        <v>60</v>
      </c>
      <c r="E90" s="9" t="s">
        <v>19</v>
      </c>
      <c r="F90" s="10" t="s">
        <v>22</v>
      </c>
      <c r="G90" s="10"/>
      <c r="H90" s="8">
        <v>9.6822730099999994</v>
      </c>
      <c r="I90" s="25">
        <v>7.7401435111053379E-2</v>
      </c>
      <c r="J90" s="11"/>
      <c r="K90" s="12"/>
      <c r="L90" s="8">
        <v>3959097.54</v>
      </c>
      <c r="M90" s="36">
        <v>5.2781376746991451E-3</v>
      </c>
      <c r="N90" s="8"/>
      <c r="O90" s="17"/>
      <c r="P90" s="8"/>
      <c r="Q90" s="16"/>
      <c r="R90" s="22"/>
    </row>
    <row r="91" spans="1:18" ht="11.25" customHeight="1" x14ac:dyDescent="0.2">
      <c r="A91" s="20">
        <v>0.12</v>
      </c>
      <c r="B91" s="20">
        <v>0.104</v>
      </c>
      <c r="C91" s="8">
        <v>2</v>
      </c>
      <c r="D91" s="8">
        <v>60</v>
      </c>
      <c r="E91" s="9" t="s">
        <v>20</v>
      </c>
      <c r="F91" s="10" t="s">
        <v>22</v>
      </c>
      <c r="G91" s="10"/>
      <c r="H91" s="8">
        <v>10.04095849</v>
      </c>
      <c r="I91" s="26">
        <v>7.4901435111053377E-2</v>
      </c>
      <c r="J91" s="11"/>
      <c r="K91" s="12"/>
      <c r="L91" s="8">
        <v>2395194.0099999998</v>
      </c>
      <c r="M91" s="36">
        <v>3.1931933009144101E-3</v>
      </c>
      <c r="N91" s="8"/>
      <c r="O91" s="17"/>
      <c r="P91" s="8"/>
      <c r="Q91" s="16"/>
      <c r="R91" s="22"/>
    </row>
    <row r="92" spans="1:18" ht="11.25" customHeight="1" x14ac:dyDescent="0.2">
      <c r="A92" s="20">
        <v>0.12</v>
      </c>
      <c r="B92" s="20">
        <v>0.104</v>
      </c>
      <c r="C92" s="8">
        <v>2</v>
      </c>
      <c r="D92" s="8">
        <v>60</v>
      </c>
      <c r="E92" s="9" t="s">
        <v>21</v>
      </c>
      <c r="F92" s="10" t="s">
        <v>22</v>
      </c>
      <c r="G92" s="10"/>
      <c r="H92" s="8">
        <v>9.5318964390000005</v>
      </c>
      <c r="I92" s="26">
        <v>7.2401435111053389E-2</v>
      </c>
      <c r="J92" s="11"/>
      <c r="K92" s="12"/>
      <c r="L92" s="8">
        <v>1697011.24</v>
      </c>
      <c r="M92" s="36">
        <v>2.262399162873849E-3</v>
      </c>
      <c r="N92" s="8"/>
      <c r="O92" s="17"/>
      <c r="P92" s="8"/>
      <c r="Q92" s="16"/>
      <c r="R92" s="22"/>
    </row>
    <row r="93" spans="1:18" ht="11.25" customHeight="1" x14ac:dyDescent="0.2">
      <c r="A93" s="20">
        <v>0.12</v>
      </c>
      <c r="B93" s="20">
        <v>0.104</v>
      </c>
      <c r="C93" s="8">
        <v>2</v>
      </c>
      <c r="D93" s="8">
        <v>60</v>
      </c>
      <c r="E93" s="9" t="s">
        <v>14</v>
      </c>
      <c r="F93" s="10" t="s">
        <v>23</v>
      </c>
      <c r="G93" s="10"/>
      <c r="H93" s="8">
        <v>13.975278579999999</v>
      </c>
      <c r="I93" s="26">
        <v>8.240143511105337E-2</v>
      </c>
      <c r="J93" s="11"/>
      <c r="K93" s="12"/>
      <c r="L93" s="8">
        <v>5719650.2699999996</v>
      </c>
      <c r="M93" s="36">
        <v>7.6252482468997561E-3</v>
      </c>
      <c r="N93" s="8"/>
      <c r="O93" s="17"/>
      <c r="P93" s="8"/>
      <c r="Q93" s="16"/>
      <c r="R93" s="22"/>
    </row>
    <row r="94" spans="1:18" ht="11.25" customHeight="1" x14ac:dyDescent="0.2">
      <c r="A94" s="20">
        <v>0.12</v>
      </c>
      <c r="B94" s="20">
        <v>0.104</v>
      </c>
      <c r="C94" s="8">
        <v>2</v>
      </c>
      <c r="D94" s="8">
        <v>60</v>
      </c>
      <c r="E94" s="9" t="s">
        <v>16</v>
      </c>
      <c r="F94" s="10" t="s">
        <v>23</v>
      </c>
      <c r="G94" s="10"/>
      <c r="H94" s="8">
        <v>13.90702684</v>
      </c>
      <c r="I94" s="26">
        <v>7.9901435111053368E-2</v>
      </c>
      <c r="J94" s="11"/>
      <c r="K94" s="12"/>
      <c r="L94" s="8">
        <v>8245629.0599999996</v>
      </c>
      <c r="M94" s="36">
        <v>1.099279948358638E-2</v>
      </c>
      <c r="N94" s="8"/>
      <c r="O94" s="17"/>
      <c r="P94" s="8"/>
      <c r="Q94" s="16"/>
      <c r="R94" s="22"/>
    </row>
    <row r="95" spans="1:18" ht="11.25" customHeight="1" x14ac:dyDescent="0.2">
      <c r="A95" s="20">
        <v>0.12</v>
      </c>
      <c r="B95" s="20">
        <v>0.104</v>
      </c>
      <c r="C95" s="8">
        <v>2</v>
      </c>
      <c r="D95" s="8">
        <v>60</v>
      </c>
      <c r="E95" s="9" t="s">
        <v>17</v>
      </c>
      <c r="F95" s="10" t="s">
        <v>23</v>
      </c>
      <c r="G95" s="10"/>
      <c r="H95" s="8">
        <v>13.6159134</v>
      </c>
      <c r="I95" s="26">
        <v>7.7401435111053379E-2</v>
      </c>
      <c r="J95" s="11"/>
      <c r="K95" s="12"/>
      <c r="L95" s="8">
        <v>12475749.130000001</v>
      </c>
      <c r="M95" s="36">
        <v>1.663225541625531E-2</v>
      </c>
      <c r="N95" s="8"/>
      <c r="O95" s="17"/>
      <c r="P95" s="8"/>
      <c r="Q95" s="16"/>
      <c r="R95" s="22"/>
    </row>
    <row r="96" spans="1:18" s="50" customFormat="1" ht="11.25" customHeight="1" x14ac:dyDescent="0.2">
      <c r="A96" s="39">
        <v>0.12</v>
      </c>
      <c r="B96" s="39">
        <v>0.104</v>
      </c>
      <c r="C96" s="40">
        <v>2</v>
      </c>
      <c r="D96" s="40">
        <v>60</v>
      </c>
      <c r="E96" s="41" t="s">
        <v>18</v>
      </c>
      <c r="F96" s="42" t="s">
        <v>23</v>
      </c>
      <c r="G96" s="42"/>
      <c r="H96" s="40">
        <v>13.62027445</v>
      </c>
      <c r="I96" s="43">
        <v>7.4901435111053377E-2</v>
      </c>
      <c r="J96" s="44"/>
      <c r="K96" s="45"/>
      <c r="L96" s="40">
        <v>9493460.6100000013</v>
      </c>
      <c r="M96" s="46">
        <v>1.265636716515788E-2</v>
      </c>
      <c r="N96" s="40"/>
      <c r="O96" s="47"/>
      <c r="P96" s="40"/>
      <c r="Q96" s="48"/>
      <c r="R96" s="49"/>
    </row>
    <row r="97" spans="1:18" ht="11.25" customHeight="1" x14ac:dyDescent="0.2">
      <c r="A97" s="20">
        <v>0.12</v>
      </c>
      <c r="B97" s="20">
        <v>0.104</v>
      </c>
      <c r="C97" s="8">
        <v>2</v>
      </c>
      <c r="D97" s="8">
        <v>60</v>
      </c>
      <c r="E97" s="9" t="s">
        <v>19</v>
      </c>
      <c r="F97" s="10" t="s">
        <v>23</v>
      </c>
      <c r="G97" s="10"/>
      <c r="H97" s="8">
        <v>12.819984209999999</v>
      </c>
      <c r="I97" s="26">
        <v>7.2401435111053389E-2</v>
      </c>
      <c r="J97" s="11"/>
      <c r="K97" s="12"/>
      <c r="L97" s="8">
        <v>7094601.0099999998</v>
      </c>
      <c r="M97" s="36">
        <v>9.4582870210971389E-3</v>
      </c>
      <c r="N97" s="8"/>
      <c r="O97" s="17"/>
      <c r="P97" s="8"/>
      <c r="Q97" s="16"/>
      <c r="R97" s="22"/>
    </row>
    <row r="98" spans="1:18" ht="11.25" customHeight="1" x14ac:dyDescent="0.2">
      <c r="A98" s="20">
        <v>0.12</v>
      </c>
      <c r="B98" s="20">
        <v>0.104</v>
      </c>
      <c r="C98" s="8">
        <v>2</v>
      </c>
      <c r="D98" s="8">
        <v>60</v>
      </c>
      <c r="E98" s="9" t="s">
        <v>20</v>
      </c>
      <c r="F98" s="10" t="s">
        <v>23</v>
      </c>
      <c r="G98" s="10"/>
      <c r="H98" s="8">
        <v>12.6465288</v>
      </c>
      <c r="I98" s="26">
        <v>6.9901435111053387E-2</v>
      </c>
      <c r="J98" s="11"/>
      <c r="K98" s="12"/>
      <c r="L98" s="8">
        <v>4449805.6500000004</v>
      </c>
      <c r="M98" s="36">
        <v>5.9323334697013114E-3</v>
      </c>
      <c r="N98" s="8"/>
      <c r="O98" s="17"/>
      <c r="P98" s="8"/>
      <c r="Q98" s="16"/>
      <c r="R98" s="22"/>
    </row>
    <row r="99" spans="1:18" ht="11.25" customHeight="1" x14ac:dyDescent="0.2">
      <c r="A99" s="20">
        <v>0.12</v>
      </c>
      <c r="B99" s="20">
        <v>0.104</v>
      </c>
      <c r="C99" s="8">
        <v>2</v>
      </c>
      <c r="D99" s="8">
        <v>60</v>
      </c>
      <c r="E99" s="9" t="s">
        <v>21</v>
      </c>
      <c r="F99" s="10" t="s">
        <v>23</v>
      </c>
      <c r="G99" s="10"/>
      <c r="H99" s="8">
        <v>12.467495769999999</v>
      </c>
      <c r="I99" s="26">
        <v>6.7401435111053384E-2</v>
      </c>
      <c r="J99" s="11"/>
      <c r="K99" s="12"/>
      <c r="L99" s="8">
        <v>2829425.94</v>
      </c>
      <c r="M99" s="36">
        <v>3.772096923806794E-3</v>
      </c>
      <c r="N99" s="8"/>
      <c r="O99" s="17"/>
      <c r="P99" s="8"/>
      <c r="Q99" s="16"/>
      <c r="R99" s="22"/>
    </row>
    <row r="100" spans="1:18" ht="11.25" customHeight="1" x14ac:dyDescent="0.2">
      <c r="A100" s="20">
        <v>0.12</v>
      </c>
      <c r="B100" s="20">
        <v>0.104</v>
      </c>
      <c r="C100" s="8">
        <v>2</v>
      </c>
      <c r="D100" s="8">
        <v>72</v>
      </c>
      <c r="E100" s="9" t="s">
        <v>14</v>
      </c>
      <c r="F100" s="10" t="s">
        <v>22</v>
      </c>
      <c r="G100" s="10"/>
      <c r="H100" s="8">
        <v>13.14029732</v>
      </c>
      <c r="I100" s="26">
        <v>9.5008222258905595E-2</v>
      </c>
      <c r="J100" s="11"/>
      <c r="K100" s="12"/>
      <c r="L100" s="8">
        <v>539388.8899999999</v>
      </c>
      <c r="M100" s="36">
        <v>7.1909539809497918E-4</v>
      </c>
      <c r="N100" s="8"/>
      <c r="O100" s="17"/>
      <c r="P100" s="8"/>
      <c r="Q100" s="16"/>
      <c r="R100" s="22"/>
    </row>
    <row r="101" spans="1:18" ht="11.25" customHeight="1" x14ac:dyDescent="0.2">
      <c r="A101" s="20">
        <v>0.12</v>
      </c>
      <c r="B101" s="20">
        <v>0.104</v>
      </c>
      <c r="C101" s="8">
        <v>2</v>
      </c>
      <c r="D101" s="8">
        <v>72</v>
      </c>
      <c r="E101" s="9" t="s">
        <v>16</v>
      </c>
      <c r="F101" s="10" t="s">
        <v>22</v>
      </c>
      <c r="G101" s="10"/>
      <c r="H101" s="8">
        <v>12.548068239999999</v>
      </c>
      <c r="I101" s="26">
        <v>9.2508222258905592E-2</v>
      </c>
      <c r="J101" s="11"/>
      <c r="K101" s="12"/>
      <c r="L101" s="8">
        <v>1357720.85</v>
      </c>
      <c r="M101" s="36">
        <v>1.810068455678803E-3</v>
      </c>
      <c r="N101" s="8"/>
      <c r="O101" s="17"/>
      <c r="P101" s="8"/>
      <c r="Q101" s="16"/>
      <c r="R101" s="22"/>
    </row>
    <row r="102" spans="1:18" ht="11.25" customHeight="1" x14ac:dyDescent="0.2">
      <c r="A102" s="20">
        <v>0.12</v>
      </c>
      <c r="B102" s="20">
        <v>0.104</v>
      </c>
      <c r="C102" s="8">
        <v>2</v>
      </c>
      <c r="D102" s="8">
        <v>72</v>
      </c>
      <c r="E102" s="9" t="s">
        <v>17</v>
      </c>
      <c r="F102" s="10" t="s">
        <v>22</v>
      </c>
      <c r="G102" s="10"/>
      <c r="H102" s="8">
        <v>11.886535309999999</v>
      </c>
      <c r="I102" s="26">
        <v>9.000822225890559E-2</v>
      </c>
      <c r="J102" s="11"/>
      <c r="K102" s="12"/>
      <c r="L102" s="8">
        <v>1575421.27</v>
      </c>
      <c r="M102" s="36">
        <v>2.1002994431678929E-3</v>
      </c>
      <c r="N102" s="8"/>
      <c r="O102" s="17"/>
      <c r="P102" s="8"/>
      <c r="Q102" s="16"/>
      <c r="R102" s="22"/>
    </row>
    <row r="103" spans="1:18" ht="11.25" customHeight="1" x14ac:dyDescent="0.2">
      <c r="A103" s="20">
        <v>0.12</v>
      </c>
      <c r="B103" s="20">
        <v>0.104</v>
      </c>
      <c r="C103" s="8">
        <v>2</v>
      </c>
      <c r="D103" s="8">
        <v>72</v>
      </c>
      <c r="E103" s="9" t="s">
        <v>18</v>
      </c>
      <c r="F103" s="10" t="s">
        <v>22</v>
      </c>
      <c r="G103" s="10"/>
      <c r="H103" s="8">
        <v>11.002026900000001</v>
      </c>
      <c r="I103" s="26">
        <v>8.7508222258905588E-2</v>
      </c>
      <c r="J103" s="11"/>
      <c r="K103" s="12"/>
      <c r="L103" s="8">
        <v>1512580.68</v>
      </c>
      <c r="M103" s="36">
        <v>2.0165224505001851E-3</v>
      </c>
      <c r="N103" s="8"/>
      <c r="O103" s="17"/>
      <c r="P103" s="8"/>
      <c r="Q103" s="16"/>
      <c r="R103" s="22"/>
    </row>
    <row r="104" spans="1:18" ht="11.25" customHeight="1" x14ac:dyDescent="0.2">
      <c r="A104" s="20">
        <v>0.12</v>
      </c>
      <c r="B104" s="20">
        <v>0.104</v>
      </c>
      <c r="C104" s="8">
        <v>2</v>
      </c>
      <c r="D104" s="8">
        <v>72</v>
      </c>
      <c r="E104" s="9" t="s">
        <v>19</v>
      </c>
      <c r="F104" s="10" t="s">
        <v>22</v>
      </c>
      <c r="G104" s="10"/>
      <c r="H104" s="8">
        <v>10.221707800000001</v>
      </c>
      <c r="I104" s="26">
        <v>8.5008222258905586E-2</v>
      </c>
      <c r="J104" s="11"/>
      <c r="K104" s="12"/>
      <c r="L104" s="8">
        <v>1365757.53</v>
      </c>
      <c r="M104" s="36">
        <v>1.820782691198118E-3</v>
      </c>
      <c r="N104" s="8"/>
      <c r="O104" s="17"/>
      <c r="P104" s="8"/>
      <c r="Q104" s="16"/>
      <c r="R104" s="22"/>
    </row>
    <row r="105" spans="1:18" ht="11.25" customHeight="1" x14ac:dyDescent="0.2">
      <c r="A105" s="20"/>
      <c r="B105" s="20">
        <v>0.03</v>
      </c>
      <c r="C105" s="8">
        <v>2</v>
      </c>
      <c r="D105" s="8">
        <v>72</v>
      </c>
      <c r="E105" s="9" t="s">
        <v>20</v>
      </c>
      <c r="F105" s="10" t="s">
        <v>22</v>
      </c>
      <c r="G105" s="10"/>
      <c r="H105" s="8">
        <v>10.29133539</v>
      </c>
      <c r="I105" s="23">
        <v>8.2508222258905584E-2</v>
      </c>
      <c r="J105" s="11"/>
      <c r="K105" s="12"/>
      <c r="L105" s="8">
        <v>837546.54999999993</v>
      </c>
      <c r="M105" s="36">
        <v>1.1165893123889271E-3</v>
      </c>
      <c r="N105" s="8"/>
      <c r="O105" s="17"/>
      <c r="P105" s="8"/>
      <c r="Q105" s="16"/>
      <c r="R105" s="22"/>
    </row>
    <row r="106" spans="1:18" ht="11.25" customHeight="1" x14ac:dyDescent="0.2">
      <c r="A106" s="20"/>
      <c r="B106" s="20">
        <v>0.03</v>
      </c>
      <c r="C106" s="8">
        <v>2</v>
      </c>
      <c r="D106" s="8">
        <v>72</v>
      </c>
      <c r="E106" s="9" t="s">
        <v>21</v>
      </c>
      <c r="F106" s="10" t="s">
        <v>22</v>
      </c>
      <c r="G106" s="10"/>
      <c r="H106" s="8">
        <v>10.374538680000001</v>
      </c>
      <c r="I106" s="23">
        <v>8.0008222258905595E-2</v>
      </c>
      <c r="J106" s="11"/>
      <c r="K106" s="12"/>
      <c r="L106" s="8">
        <v>1285030.1000000001</v>
      </c>
      <c r="M106" s="36">
        <v>1.7131595560367051E-3</v>
      </c>
      <c r="N106" s="8"/>
      <c r="O106" s="17"/>
      <c r="P106" s="8"/>
      <c r="Q106" s="16"/>
      <c r="R106" s="22"/>
    </row>
    <row r="107" spans="1:18" ht="11.25" customHeight="1" x14ac:dyDescent="0.2">
      <c r="A107" s="20"/>
      <c r="B107" s="20">
        <v>0.03</v>
      </c>
      <c r="C107" s="8">
        <v>2</v>
      </c>
      <c r="D107" s="8">
        <v>72</v>
      </c>
      <c r="E107" s="9" t="s">
        <v>14</v>
      </c>
      <c r="F107" s="10" t="s">
        <v>23</v>
      </c>
      <c r="G107" s="10"/>
      <c r="H107" s="8">
        <v>15.216133019999999</v>
      </c>
      <c r="I107" s="23">
        <v>9.000822225890559E-2</v>
      </c>
      <c r="J107" s="11"/>
      <c r="K107" s="12"/>
      <c r="L107" s="8">
        <v>1152170.47</v>
      </c>
      <c r="M107" s="36">
        <v>1.5360354989846551E-3</v>
      </c>
      <c r="N107" s="8"/>
      <c r="O107" s="17"/>
      <c r="P107" s="8"/>
      <c r="Q107" s="16"/>
      <c r="R107" s="22"/>
    </row>
    <row r="108" spans="1:18" ht="11.25" customHeight="1" x14ac:dyDescent="0.2">
      <c r="A108" s="20"/>
      <c r="B108" s="20">
        <v>0.03</v>
      </c>
      <c r="C108" s="8">
        <v>2</v>
      </c>
      <c r="D108" s="8">
        <v>72</v>
      </c>
      <c r="E108" s="9" t="s">
        <v>16</v>
      </c>
      <c r="F108" s="10" t="s">
        <v>23</v>
      </c>
      <c r="G108" s="10"/>
      <c r="H108" s="8">
        <v>14.91378783</v>
      </c>
      <c r="I108" s="23">
        <v>8.7508222258905588E-2</v>
      </c>
      <c r="J108" s="11"/>
      <c r="K108" s="12"/>
      <c r="L108" s="8">
        <v>1746907.12</v>
      </c>
      <c r="M108" s="36">
        <v>2.3289186970301781E-3</v>
      </c>
      <c r="N108" s="8"/>
      <c r="O108" s="17"/>
      <c r="P108" s="8"/>
      <c r="Q108" s="16"/>
      <c r="R108" s="22"/>
    </row>
    <row r="109" spans="1:18" ht="11.25" customHeight="1" x14ac:dyDescent="0.2">
      <c r="A109" s="20"/>
      <c r="B109" s="20">
        <v>0.03</v>
      </c>
      <c r="C109" s="8">
        <v>2</v>
      </c>
      <c r="D109" s="8">
        <v>72</v>
      </c>
      <c r="E109" s="9" t="s">
        <v>17</v>
      </c>
      <c r="F109" s="10" t="s">
        <v>23</v>
      </c>
      <c r="G109" s="10"/>
      <c r="H109" s="8">
        <v>14.36702229</v>
      </c>
      <c r="I109" s="23">
        <v>8.5008222258905586E-2</v>
      </c>
      <c r="J109" s="11"/>
      <c r="K109" s="12"/>
      <c r="L109" s="8">
        <v>3236911.7</v>
      </c>
      <c r="M109" s="36">
        <v>4.315343438960703E-3</v>
      </c>
      <c r="N109" s="8"/>
      <c r="O109" s="17"/>
      <c r="P109" s="8"/>
      <c r="Q109" s="16"/>
      <c r="R109" s="22"/>
    </row>
    <row r="110" spans="1:18" ht="11.25" customHeight="1" x14ac:dyDescent="0.2">
      <c r="A110" s="20"/>
      <c r="B110" s="20">
        <v>0.03</v>
      </c>
      <c r="C110" s="8">
        <v>2</v>
      </c>
      <c r="D110" s="8">
        <v>72</v>
      </c>
      <c r="E110" s="9" t="s">
        <v>18</v>
      </c>
      <c r="F110" s="10" t="s">
        <v>23</v>
      </c>
      <c r="G110" s="10"/>
      <c r="H110" s="8">
        <v>14.02864228</v>
      </c>
      <c r="I110" s="23">
        <v>8.2508222258905584E-2</v>
      </c>
      <c r="J110" s="11"/>
      <c r="K110" s="12"/>
      <c r="L110" s="8">
        <v>1981754.93</v>
      </c>
      <c r="M110" s="36">
        <v>2.642010016771086E-3</v>
      </c>
      <c r="N110" s="8"/>
      <c r="O110" s="17"/>
      <c r="P110" s="8"/>
      <c r="Q110" s="16"/>
      <c r="R110" s="22"/>
    </row>
    <row r="111" spans="1:18" ht="11.25" customHeight="1" x14ac:dyDescent="0.2">
      <c r="A111" s="20"/>
      <c r="B111" s="20">
        <v>0.03</v>
      </c>
      <c r="C111" s="8">
        <v>2</v>
      </c>
      <c r="D111" s="8">
        <v>72</v>
      </c>
      <c r="E111" s="9" t="s">
        <v>19</v>
      </c>
      <c r="F111" s="10" t="s">
        <v>23</v>
      </c>
      <c r="G111" s="10"/>
      <c r="H111" s="8">
        <v>13.809709290000001</v>
      </c>
      <c r="I111" s="23">
        <v>8.0008222258905595E-2</v>
      </c>
      <c r="J111" s="11"/>
      <c r="K111" s="12"/>
      <c r="L111" s="8">
        <v>2005425.42</v>
      </c>
      <c r="M111" s="36">
        <v>2.6735667298314041E-3</v>
      </c>
      <c r="N111" s="8"/>
      <c r="O111" s="17"/>
      <c r="P111" s="8"/>
      <c r="Q111" s="16"/>
      <c r="R111" s="22"/>
    </row>
    <row r="112" spans="1:18" ht="11.25" customHeight="1" x14ac:dyDescent="0.2">
      <c r="A112" s="20"/>
      <c r="B112" s="20">
        <v>0.03</v>
      </c>
      <c r="C112" s="8">
        <v>2</v>
      </c>
      <c r="D112" s="8">
        <v>72</v>
      </c>
      <c r="E112" s="9" t="s">
        <v>20</v>
      </c>
      <c r="F112" s="10" t="s">
        <v>23</v>
      </c>
      <c r="G112" s="10"/>
      <c r="H112" s="8">
        <v>13.57096582</v>
      </c>
      <c r="I112" s="23">
        <v>7.7508222258905593E-2</v>
      </c>
      <c r="J112" s="11"/>
      <c r="K112" s="12"/>
      <c r="L112" s="8">
        <v>1070691.03</v>
      </c>
      <c r="M112" s="36">
        <v>1.4274098090054719E-3</v>
      </c>
      <c r="N112" s="8"/>
      <c r="O112" s="17"/>
      <c r="P112" s="8"/>
      <c r="Q112" s="16"/>
      <c r="R112" s="22"/>
    </row>
    <row r="113" spans="1:18" ht="11.25" customHeight="1" x14ac:dyDescent="0.2">
      <c r="A113" s="20"/>
      <c r="B113" s="20">
        <v>0.03</v>
      </c>
      <c r="C113" s="8">
        <v>2</v>
      </c>
      <c r="D113" s="8">
        <v>72</v>
      </c>
      <c r="E113" s="9" t="s">
        <v>21</v>
      </c>
      <c r="F113" s="10" t="s">
        <v>23</v>
      </c>
      <c r="G113" s="10"/>
      <c r="H113" s="8">
        <v>13.32675585</v>
      </c>
      <c r="I113" s="21">
        <v>7.5008222258905591E-2</v>
      </c>
      <c r="J113" s="11"/>
      <c r="K113" s="12"/>
      <c r="L113" s="8">
        <v>599940.20000000007</v>
      </c>
      <c r="M113" s="36">
        <v>7.9982039851095473E-4</v>
      </c>
      <c r="N113" s="8"/>
      <c r="O113" s="17"/>
      <c r="P113" s="8"/>
      <c r="Q113" s="16"/>
      <c r="R113" s="22"/>
    </row>
    <row r="114" spans="1:18" ht="11.25" customHeight="1" x14ac:dyDescent="0.2">
      <c r="A114" s="20"/>
      <c r="B114" s="20">
        <v>0.03</v>
      </c>
      <c r="C114" s="8">
        <v>2</v>
      </c>
      <c r="D114" s="8">
        <v>84</v>
      </c>
      <c r="E114" s="9" t="s">
        <v>14</v>
      </c>
      <c r="F114" s="10" t="s">
        <v>22</v>
      </c>
      <c r="G114" s="10"/>
      <c r="H114" s="8">
        <v>15.163427909999999</v>
      </c>
      <c r="I114" s="21">
        <v>0.13035421478433193</v>
      </c>
      <c r="J114" s="11"/>
      <c r="K114" s="12"/>
      <c r="L114" s="8">
        <v>1203793.49</v>
      </c>
      <c r="M114" s="36">
        <v>1.604857598968519E-3</v>
      </c>
      <c r="N114" s="8"/>
      <c r="O114" s="17"/>
      <c r="P114" s="8"/>
      <c r="Q114" s="16"/>
      <c r="R114" s="22"/>
    </row>
    <row r="115" spans="1:18" ht="11.25" customHeight="1" x14ac:dyDescent="0.2">
      <c r="A115" s="20"/>
      <c r="B115" s="20">
        <v>4.4999999999999998E-2</v>
      </c>
      <c r="C115" s="8">
        <v>2</v>
      </c>
      <c r="D115" s="8">
        <v>84</v>
      </c>
      <c r="E115" s="9" t="s">
        <v>16</v>
      </c>
      <c r="F115" s="10" t="s">
        <v>22</v>
      </c>
      <c r="G115" s="10"/>
      <c r="H115" s="8">
        <v>14.14034142</v>
      </c>
      <c r="I115" s="21">
        <v>0.12785421478433193</v>
      </c>
      <c r="J115" s="11"/>
      <c r="K115" s="12"/>
      <c r="L115" s="8">
        <v>2323324.7799999998</v>
      </c>
      <c r="M115" s="36">
        <v>3.0973796245192041E-3</v>
      </c>
      <c r="N115" s="8"/>
      <c r="O115" s="17"/>
      <c r="P115" s="8"/>
      <c r="Q115" s="16"/>
      <c r="R115" s="22"/>
    </row>
    <row r="116" spans="1:18" ht="11.25" customHeight="1" x14ac:dyDescent="0.2">
      <c r="A116" s="20"/>
      <c r="B116" s="20">
        <v>4.4999999999999998E-2</v>
      </c>
      <c r="C116" s="8">
        <v>2</v>
      </c>
      <c r="D116" s="8">
        <v>84</v>
      </c>
      <c r="E116" s="9" t="s">
        <v>17</v>
      </c>
      <c r="F116" s="10" t="s">
        <v>22</v>
      </c>
      <c r="G116" s="10"/>
      <c r="H116" s="8">
        <v>13.619022190000001</v>
      </c>
      <c r="I116" s="21">
        <v>0.12535421478433192</v>
      </c>
      <c r="J116" s="11"/>
      <c r="K116" s="12"/>
      <c r="L116" s="8">
        <v>3423229.01</v>
      </c>
      <c r="M116" s="36">
        <v>4.5637355039259931E-3</v>
      </c>
      <c r="N116" s="8"/>
      <c r="O116" s="17"/>
      <c r="P116" s="8"/>
      <c r="Q116" s="16"/>
      <c r="R116" s="22"/>
    </row>
    <row r="117" spans="1:18" ht="11.25" customHeight="1" x14ac:dyDescent="0.2">
      <c r="A117" s="20"/>
      <c r="B117" s="20">
        <v>4.4999999999999998E-2</v>
      </c>
      <c r="C117" s="8">
        <v>2</v>
      </c>
      <c r="D117" s="8">
        <v>84</v>
      </c>
      <c r="E117" s="9" t="s">
        <v>18</v>
      </c>
      <c r="F117" s="10" t="s">
        <v>22</v>
      </c>
      <c r="G117" s="10"/>
      <c r="H117" s="8">
        <v>12.474722079999999</v>
      </c>
      <c r="I117" s="21">
        <v>0.12285421478433194</v>
      </c>
      <c r="J117" s="11"/>
      <c r="K117" s="12"/>
      <c r="L117" s="8">
        <v>3054371.84</v>
      </c>
      <c r="M117" s="36">
        <v>4.0719873451878002E-3</v>
      </c>
      <c r="N117" s="8"/>
      <c r="O117" s="17"/>
      <c r="P117" s="8"/>
      <c r="Q117" s="16"/>
      <c r="R117" s="22"/>
    </row>
    <row r="118" spans="1:18" ht="11.25" customHeight="1" x14ac:dyDescent="0.2">
      <c r="A118" s="20"/>
      <c r="B118" s="20">
        <v>4.4999999999999998E-2</v>
      </c>
      <c r="C118" s="8">
        <v>2</v>
      </c>
      <c r="D118" s="8">
        <v>84</v>
      </c>
      <c r="E118" s="9" t="s">
        <v>19</v>
      </c>
      <c r="F118" s="10" t="s">
        <v>22</v>
      </c>
      <c r="G118" s="10"/>
      <c r="H118" s="8">
        <v>12.105474470000001</v>
      </c>
      <c r="I118" s="21">
        <v>0.12035421478433193</v>
      </c>
      <c r="J118" s="11"/>
      <c r="K118" s="12"/>
      <c r="L118" s="8">
        <v>2174814.62</v>
      </c>
      <c r="M118" s="36">
        <v>2.8993907993760878E-3</v>
      </c>
      <c r="N118" s="8"/>
      <c r="O118" s="17"/>
      <c r="P118" s="8"/>
      <c r="Q118" s="16"/>
      <c r="R118" s="22"/>
    </row>
    <row r="119" spans="1:18" ht="11.25" customHeight="1" x14ac:dyDescent="0.2">
      <c r="A119" s="20"/>
      <c r="B119" s="20">
        <v>4.4999999999999998E-2</v>
      </c>
      <c r="C119" s="8">
        <v>2</v>
      </c>
      <c r="D119" s="8">
        <v>84</v>
      </c>
      <c r="E119" s="9" t="s">
        <v>20</v>
      </c>
      <c r="F119" s="10" t="s">
        <v>22</v>
      </c>
      <c r="G119" s="10"/>
      <c r="H119" s="8">
        <v>11.80641571</v>
      </c>
      <c r="I119" s="21">
        <v>0.11785421478433193</v>
      </c>
      <c r="J119" s="11"/>
      <c r="K119" s="12"/>
      <c r="L119" s="8">
        <v>1880643.5</v>
      </c>
      <c r="M119" s="36">
        <v>2.507211608135339E-3</v>
      </c>
      <c r="N119" s="8"/>
      <c r="O119" s="17"/>
      <c r="P119" s="8"/>
      <c r="Q119" s="16"/>
      <c r="R119" s="22"/>
    </row>
    <row r="120" spans="1:18" ht="11.25" customHeight="1" x14ac:dyDescent="0.2">
      <c r="A120" s="20"/>
      <c r="B120" s="20">
        <v>4.4999999999999998E-2</v>
      </c>
      <c r="C120" s="8">
        <v>2</v>
      </c>
      <c r="D120" s="8">
        <v>84</v>
      </c>
      <c r="E120" s="9" t="s">
        <v>21</v>
      </c>
      <c r="F120" s="10" t="s">
        <v>22</v>
      </c>
      <c r="G120" s="10"/>
      <c r="H120" s="8">
        <v>12.037527499999999</v>
      </c>
      <c r="I120" s="21">
        <v>0.11535421478433193</v>
      </c>
      <c r="J120" s="11"/>
      <c r="K120" s="12"/>
      <c r="L120" s="8">
        <v>1354231.14</v>
      </c>
      <c r="M120" s="36">
        <v>1.8054160899215359E-3</v>
      </c>
      <c r="N120" s="8"/>
      <c r="O120" s="17"/>
      <c r="P120" s="8"/>
      <c r="Q120" s="16"/>
      <c r="R120" s="22"/>
    </row>
    <row r="121" spans="1:18" ht="11.25" customHeight="1" x14ac:dyDescent="0.2">
      <c r="A121" s="20"/>
      <c r="B121" s="20">
        <v>4.4999999999999998E-2</v>
      </c>
      <c r="C121" s="8">
        <v>2</v>
      </c>
      <c r="D121" s="8">
        <v>84</v>
      </c>
      <c r="E121" s="9" t="s">
        <v>18</v>
      </c>
      <c r="F121" s="10" t="s">
        <v>24</v>
      </c>
      <c r="G121" s="10"/>
      <c r="H121" s="8">
        <v>14.03</v>
      </c>
      <c r="I121" s="21">
        <v>0.12285421478433194</v>
      </c>
      <c r="J121" s="11"/>
      <c r="K121" s="12"/>
      <c r="L121" s="8">
        <v>38605.22</v>
      </c>
      <c r="M121" s="36">
        <v>5.1467200305968962E-5</v>
      </c>
      <c r="N121" s="8"/>
      <c r="O121" s="17"/>
      <c r="P121" s="8"/>
      <c r="Q121" s="16"/>
      <c r="R121" s="22"/>
    </row>
    <row r="122" spans="1:18" ht="11.25" customHeight="1" x14ac:dyDescent="0.2">
      <c r="A122" s="20"/>
      <c r="B122" s="20">
        <v>4.4999999999999998E-2</v>
      </c>
      <c r="C122" s="8">
        <v>2</v>
      </c>
      <c r="D122" s="8">
        <v>84</v>
      </c>
      <c r="E122" s="9" t="s">
        <v>14</v>
      </c>
      <c r="F122" s="10" t="s">
        <v>23</v>
      </c>
      <c r="G122" s="10"/>
      <c r="H122" s="8">
        <v>16.960620160000001</v>
      </c>
      <c r="I122" s="21">
        <v>0.12535421478433192</v>
      </c>
      <c r="J122" s="11"/>
      <c r="K122" s="12"/>
      <c r="L122" s="8">
        <v>2759566.27</v>
      </c>
      <c r="M122" s="36">
        <v>3.6789623262264951E-3</v>
      </c>
      <c r="N122" s="8"/>
      <c r="O122" s="17"/>
      <c r="P122" s="8"/>
      <c r="Q122" s="16"/>
      <c r="R122" s="22"/>
    </row>
    <row r="123" spans="1:18" ht="11.25" customHeight="1" x14ac:dyDescent="0.2">
      <c r="A123" s="20"/>
      <c r="B123" s="20">
        <v>4.4999999999999998E-2</v>
      </c>
      <c r="C123" s="8">
        <v>2</v>
      </c>
      <c r="D123" s="8">
        <v>84</v>
      </c>
      <c r="E123" s="9" t="s">
        <v>16</v>
      </c>
      <c r="F123" s="10" t="s">
        <v>23</v>
      </c>
      <c r="G123" s="10"/>
      <c r="H123" s="8">
        <v>16.895858969999999</v>
      </c>
      <c r="I123" s="21">
        <v>0.12285421478433194</v>
      </c>
      <c r="J123" s="11"/>
      <c r="K123" s="12"/>
      <c r="L123" s="8">
        <v>5008829.0100000007</v>
      </c>
      <c r="M123" s="36">
        <v>6.6776048927066917E-3</v>
      </c>
      <c r="N123" s="8"/>
      <c r="O123" s="17"/>
      <c r="P123" s="8"/>
      <c r="Q123" s="16"/>
      <c r="R123" s="22"/>
    </row>
    <row r="124" spans="1:18" ht="11.25" customHeight="1" x14ac:dyDescent="0.2">
      <c r="A124" s="20"/>
      <c r="B124" s="20">
        <v>4.4999999999999998E-2</v>
      </c>
      <c r="C124" s="8">
        <v>2</v>
      </c>
      <c r="D124" s="8">
        <v>84</v>
      </c>
      <c r="E124" s="9" t="s">
        <v>17</v>
      </c>
      <c r="F124" s="10" t="s">
        <v>23</v>
      </c>
      <c r="G124" s="10"/>
      <c r="H124" s="8">
        <v>16.44591089</v>
      </c>
      <c r="I124" s="21">
        <v>0.12035421478433193</v>
      </c>
      <c r="J124" s="11"/>
      <c r="K124" s="12"/>
      <c r="L124" s="8">
        <v>6276849.1400000006</v>
      </c>
      <c r="M124" s="36">
        <v>8.3680873202828278E-3</v>
      </c>
      <c r="N124" s="8"/>
      <c r="O124" s="17"/>
      <c r="P124" s="8"/>
      <c r="Q124" s="16"/>
      <c r="R124" s="22"/>
    </row>
    <row r="125" spans="1:18" ht="11.25" customHeight="1" x14ac:dyDescent="0.2">
      <c r="A125" s="20"/>
      <c r="B125" s="20"/>
      <c r="C125" s="8">
        <v>2</v>
      </c>
      <c r="D125" s="8">
        <v>84</v>
      </c>
      <c r="E125" s="9" t="s">
        <v>18</v>
      </c>
      <c r="F125" s="10" t="s">
        <v>23</v>
      </c>
      <c r="G125" s="10"/>
      <c r="H125" s="8">
        <v>16.308385430000001</v>
      </c>
      <c r="I125" s="23">
        <v>0.11785421478433193</v>
      </c>
      <c r="J125" s="11"/>
      <c r="K125" s="12"/>
      <c r="L125" s="8">
        <v>5874780.75</v>
      </c>
      <c r="M125" s="36">
        <v>7.8320630633344542E-3</v>
      </c>
      <c r="N125" s="8"/>
      <c r="O125" s="17"/>
      <c r="P125" s="8"/>
      <c r="Q125" s="16"/>
      <c r="R125" s="22"/>
    </row>
    <row r="126" spans="1:18" ht="11.25" customHeight="1" x14ac:dyDescent="0.2">
      <c r="A126" s="20"/>
      <c r="B126" s="20"/>
      <c r="C126" s="8">
        <v>2</v>
      </c>
      <c r="D126" s="8">
        <v>84</v>
      </c>
      <c r="E126" s="9" t="s">
        <v>19</v>
      </c>
      <c r="F126" s="10" t="s">
        <v>23</v>
      </c>
      <c r="G126" s="10"/>
      <c r="H126" s="8">
        <v>15.708650370000001</v>
      </c>
      <c r="I126" s="23">
        <v>0.11535421478433193</v>
      </c>
      <c r="J126" s="11"/>
      <c r="K126" s="12"/>
      <c r="L126" s="8">
        <v>4616886.5</v>
      </c>
      <c r="M126" s="36">
        <v>6.1550801235020526E-3</v>
      </c>
      <c r="N126" s="8"/>
      <c r="O126" s="17"/>
      <c r="P126" s="8"/>
      <c r="Q126" s="16"/>
      <c r="R126" s="22"/>
    </row>
    <row r="127" spans="1:18" ht="11.25" customHeight="1" x14ac:dyDescent="0.2">
      <c r="A127" s="20"/>
      <c r="B127" s="20"/>
      <c r="C127" s="8">
        <v>2</v>
      </c>
      <c r="D127" s="8">
        <v>84</v>
      </c>
      <c r="E127" s="9" t="s">
        <v>20</v>
      </c>
      <c r="F127" s="10" t="s">
        <v>23</v>
      </c>
      <c r="G127" s="10"/>
      <c r="H127" s="8">
        <v>15.601101590000001</v>
      </c>
      <c r="I127" s="23">
        <v>0.11285421478433193</v>
      </c>
      <c r="J127" s="11"/>
      <c r="K127" s="12"/>
      <c r="L127" s="8">
        <v>3279341.36</v>
      </c>
      <c r="M127" s="36">
        <v>4.3719092559702721E-3</v>
      </c>
      <c r="N127" s="8"/>
      <c r="O127" s="17"/>
      <c r="P127" s="8"/>
      <c r="Q127" s="16"/>
      <c r="R127" s="22"/>
    </row>
    <row r="128" spans="1:18" ht="11.25" customHeight="1" x14ac:dyDescent="0.2">
      <c r="A128" s="20"/>
      <c r="B128" s="20"/>
      <c r="C128" s="8">
        <v>2</v>
      </c>
      <c r="D128" s="8">
        <v>84</v>
      </c>
      <c r="E128" s="9" t="s">
        <v>21</v>
      </c>
      <c r="F128" s="10" t="s">
        <v>23</v>
      </c>
      <c r="G128" s="10"/>
      <c r="H128" s="8">
        <v>15.863249870000001</v>
      </c>
      <c r="I128" s="23">
        <v>0.11035421478433192</v>
      </c>
      <c r="J128" s="11"/>
      <c r="K128" s="12"/>
      <c r="L128" s="8">
        <v>2293101.7799999998</v>
      </c>
      <c r="M128" s="36">
        <v>3.0570873222127469E-3</v>
      </c>
      <c r="N128" s="8"/>
      <c r="O128" s="17"/>
      <c r="P128" s="8"/>
      <c r="Q128" s="16"/>
      <c r="R128" s="22"/>
    </row>
    <row r="129" spans="1:18" ht="11.25" customHeight="1" x14ac:dyDescent="0.2">
      <c r="A129" s="20"/>
      <c r="B129" s="20"/>
      <c r="C129" s="8">
        <v>3</v>
      </c>
      <c r="D129" s="8">
        <v>24</v>
      </c>
      <c r="E129" s="9" t="s">
        <v>14</v>
      </c>
      <c r="F129" s="10" t="s">
        <v>22</v>
      </c>
      <c r="G129" s="10"/>
      <c r="H129" s="8">
        <v>9.7446728389999997</v>
      </c>
      <c r="I129" s="23">
        <v>4.5628250503686296E-2</v>
      </c>
      <c r="J129" s="11"/>
      <c r="K129" s="12"/>
      <c r="L129" s="8">
        <v>475909.71</v>
      </c>
      <c r="M129" s="36">
        <v>6.3446705839587483E-4</v>
      </c>
      <c r="N129" s="8"/>
      <c r="O129" s="17"/>
      <c r="P129" s="8"/>
      <c r="Q129" s="16"/>
      <c r="R129" s="22"/>
    </row>
    <row r="130" spans="1:18" ht="11.25" customHeight="1" x14ac:dyDescent="0.2">
      <c r="A130" s="20"/>
      <c r="B130" s="20"/>
      <c r="C130" s="8">
        <v>3</v>
      </c>
      <c r="D130" s="8">
        <v>24</v>
      </c>
      <c r="E130" s="9" t="s">
        <v>16</v>
      </c>
      <c r="F130" s="10" t="s">
        <v>22</v>
      </c>
      <c r="G130" s="10"/>
      <c r="H130" s="8">
        <v>9.8073735249999991</v>
      </c>
      <c r="I130" s="23">
        <v>4.0628250503686292E-2</v>
      </c>
      <c r="J130" s="11"/>
      <c r="K130" s="12"/>
      <c r="L130" s="8">
        <v>781971.83000000019</v>
      </c>
      <c r="M130" s="36">
        <v>1.042498936885611E-3</v>
      </c>
      <c r="N130" s="8"/>
      <c r="O130" s="17"/>
      <c r="P130" s="8"/>
      <c r="Q130" s="16"/>
      <c r="R130" s="22"/>
    </row>
    <row r="131" spans="1:18" ht="11.25" customHeight="1" x14ac:dyDescent="0.2">
      <c r="A131" s="20"/>
      <c r="B131" s="20"/>
      <c r="C131" s="8">
        <v>3</v>
      </c>
      <c r="D131" s="8">
        <v>24</v>
      </c>
      <c r="E131" s="9" t="s">
        <v>17</v>
      </c>
      <c r="F131" s="10" t="s">
        <v>22</v>
      </c>
      <c r="G131" s="10"/>
      <c r="H131" s="8">
        <v>7.6395462680000001</v>
      </c>
      <c r="I131" s="23">
        <v>3.5628250503686294E-2</v>
      </c>
      <c r="J131" s="11"/>
      <c r="K131" s="12"/>
      <c r="L131" s="8">
        <v>583049.80000000005</v>
      </c>
      <c r="M131" s="36">
        <v>7.7730267681300983E-4</v>
      </c>
      <c r="N131" s="8"/>
      <c r="O131" s="17"/>
      <c r="P131" s="8"/>
      <c r="Q131" s="16"/>
      <c r="R131" s="22"/>
    </row>
    <row r="132" spans="1:18" ht="11.25" customHeight="1" x14ac:dyDescent="0.2">
      <c r="A132" s="20"/>
      <c r="B132" s="20"/>
      <c r="C132" s="8">
        <v>3</v>
      </c>
      <c r="D132" s="8">
        <v>24</v>
      </c>
      <c r="E132" s="9" t="s">
        <v>18</v>
      </c>
      <c r="F132" s="10" t="s">
        <v>22</v>
      </c>
      <c r="G132" s="10"/>
      <c r="H132" s="8">
        <v>7.0620163820000004</v>
      </c>
      <c r="I132" s="23">
        <v>3.0628250503686293E-2</v>
      </c>
      <c r="J132" s="11"/>
      <c r="K132" s="12"/>
      <c r="L132" s="8">
        <v>760372.91999999993</v>
      </c>
      <c r="M132" s="36">
        <v>1.0137039856494669E-3</v>
      </c>
      <c r="N132" s="8"/>
      <c r="O132" s="17"/>
      <c r="P132" s="8"/>
      <c r="Q132" s="16"/>
      <c r="R132" s="22"/>
    </row>
    <row r="133" spans="1:18" ht="11.25" customHeight="1" x14ac:dyDescent="0.2">
      <c r="A133" s="20"/>
      <c r="B133" s="20"/>
      <c r="C133" s="8">
        <v>3</v>
      </c>
      <c r="D133" s="8">
        <v>24</v>
      </c>
      <c r="E133" s="9" t="s">
        <v>19</v>
      </c>
      <c r="F133" s="10" t="s">
        <v>22</v>
      </c>
      <c r="G133" s="10"/>
      <c r="H133" s="8">
        <v>6.4762714419999998</v>
      </c>
      <c r="I133" s="23">
        <v>2.5628250503686292E-2</v>
      </c>
      <c r="J133" s="11"/>
      <c r="K133" s="12"/>
      <c r="L133" s="8">
        <v>738538.27</v>
      </c>
      <c r="M133" s="36">
        <v>9.8459475365543286E-4</v>
      </c>
      <c r="N133" s="8"/>
      <c r="O133" s="17"/>
      <c r="P133" s="8"/>
      <c r="Q133" s="16"/>
      <c r="R133" s="22"/>
    </row>
    <row r="134" spans="1:18" ht="11.25" customHeight="1" x14ac:dyDescent="0.2">
      <c r="A134" s="20"/>
      <c r="B134" s="20"/>
      <c r="C134" s="8">
        <v>3</v>
      </c>
      <c r="D134" s="8">
        <v>24</v>
      </c>
      <c r="E134" s="9" t="s">
        <v>20</v>
      </c>
      <c r="F134" s="10" t="s">
        <v>22</v>
      </c>
      <c r="G134" s="10"/>
      <c r="H134" s="8">
        <v>7.0808649040000002</v>
      </c>
      <c r="I134" s="24">
        <v>2.0628250503686295E-2</v>
      </c>
      <c r="J134" s="11"/>
      <c r="K134" s="12"/>
      <c r="L134" s="8">
        <v>388521.44</v>
      </c>
      <c r="M134" s="36">
        <v>5.1796391202131478E-4</v>
      </c>
      <c r="N134" s="8"/>
      <c r="O134" s="17"/>
      <c r="P134" s="8"/>
      <c r="Q134" s="16"/>
      <c r="R134" s="22"/>
    </row>
    <row r="135" spans="1:18" ht="11.25" customHeight="1" x14ac:dyDescent="0.2">
      <c r="A135" s="20"/>
      <c r="B135" s="20"/>
      <c r="C135" s="8">
        <v>3</v>
      </c>
      <c r="D135" s="8">
        <v>24</v>
      </c>
      <c r="E135" s="9" t="s">
        <v>21</v>
      </c>
      <c r="F135" s="10" t="s">
        <v>22</v>
      </c>
      <c r="G135" s="10"/>
      <c r="H135" s="8">
        <v>6.3518674160000002</v>
      </c>
      <c r="I135" s="24">
        <v>1.5628250503686294E-2</v>
      </c>
      <c r="J135" s="11"/>
      <c r="K135" s="12"/>
      <c r="L135" s="8">
        <v>189423.53</v>
      </c>
      <c r="M135" s="36">
        <v>2.5253317455965079E-4</v>
      </c>
      <c r="N135" s="8"/>
      <c r="O135" s="17"/>
      <c r="P135" s="8"/>
      <c r="Q135" s="16"/>
      <c r="R135" s="22"/>
    </row>
    <row r="136" spans="1:18" ht="11.25" customHeight="1" x14ac:dyDescent="0.2">
      <c r="A136" s="20"/>
      <c r="B136" s="20"/>
      <c r="C136" s="8">
        <v>3</v>
      </c>
      <c r="D136" s="8">
        <v>24</v>
      </c>
      <c r="E136" s="9" t="s">
        <v>14</v>
      </c>
      <c r="F136" s="10" t="s">
        <v>23</v>
      </c>
      <c r="G136" s="10"/>
      <c r="H136" s="8">
        <v>11.03066819</v>
      </c>
      <c r="I136" s="24">
        <v>3.5628250503686294E-2</v>
      </c>
      <c r="J136" s="11"/>
      <c r="K136" s="12"/>
      <c r="L136" s="8">
        <v>1152872.79</v>
      </c>
      <c r="M136" s="36">
        <v>1.536971808740665E-3</v>
      </c>
      <c r="N136" s="8"/>
      <c r="O136" s="17"/>
      <c r="P136" s="8"/>
      <c r="Q136" s="16"/>
      <c r="R136" s="22"/>
    </row>
    <row r="137" spans="1:18" ht="11.25" customHeight="1" x14ac:dyDescent="0.2">
      <c r="A137" s="20"/>
      <c r="B137" s="20"/>
      <c r="C137" s="8">
        <v>3</v>
      </c>
      <c r="D137" s="8">
        <v>24</v>
      </c>
      <c r="E137" s="9" t="s">
        <v>16</v>
      </c>
      <c r="F137" s="10" t="s">
        <v>23</v>
      </c>
      <c r="G137" s="10"/>
      <c r="H137" s="8">
        <v>11.02257494</v>
      </c>
      <c r="I137" s="24">
        <v>3.0628250503686293E-2</v>
      </c>
      <c r="J137" s="11"/>
      <c r="K137" s="12"/>
      <c r="L137" s="8">
        <v>1376457.43</v>
      </c>
      <c r="M137" s="36">
        <v>1.8350474433884659E-3</v>
      </c>
      <c r="N137" s="8"/>
      <c r="O137" s="17"/>
      <c r="P137" s="8"/>
      <c r="Q137" s="16"/>
      <c r="R137" s="22"/>
    </row>
    <row r="138" spans="1:18" ht="11.25" customHeight="1" x14ac:dyDescent="0.2">
      <c r="A138" s="20"/>
      <c r="B138" s="20"/>
      <c r="C138" s="8">
        <v>3</v>
      </c>
      <c r="D138" s="8">
        <v>24</v>
      </c>
      <c r="E138" s="9" t="s">
        <v>17</v>
      </c>
      <c r="F138" s="10" t="s">
        <v>23</v>
      </c>
      <c r="G138" s="10"/>
      <c r="H138" s="8">
        <v>10.7002153</v>
      </c>
      <c r="I138" s="24">
        <v>2.5628250503686292E-2</v>
      </c>
      <c r="J138" s="11"/>
      <c r="K138" s="12"/>
      <c r="L138" s="8">
        <v>1548236.26</v>
      </c>
      <c r="M138" s="36">
        <v>2.064057288480269E-3</v>
      </c>
      <c r="N138" s="8"/>
      <c r="O138" s="17"/>
      <c r="P138" s="8"/>
      <c r="Q138" s="16"/>
      <c r="R138" s="22"/>
    </row>
    <row r="139" spans="1:18" ht="11.25" customHeight="1" x14ac:dyDescent="0.2">
      <c r="A139" s="20"/>
      <c r="B139" s="20"/>
      <c r="C139" s="8">
        <v>3</v>
      </c>
      <c r="D139" s="8">
        <v>24</v>
      </c>
      <c r="E139" s="9" t="s">
        <v>18</v>
      </c>
      <c r="F139" s="10" t="s">
        <v>23</v>
      </c>
      <c r="G139" s="10"/>
      <c r="H139" s="8">
        <v>10.37910452</v>
      </c>
      <c r="I139" s="24">
        <v>2.0628250503686295E-2</v>
      </c>
      <c r="J139" s="11"/>
      <c r="K139" s="12"/>
      <c r="L139" s="8">
        <v>1263895.1299999999</v>
      </c>
      <c r="M139" s="36">
        <v>1.684983114238143E-3</v>
      </c>
      <c r="N139" s="8"/>
      <c r="O139" s="17"/>
      <c r="P139" s="8"/>
      <c r="Q139" s="16"/>
      <c r="R139" s="22"/>
    </row>
    <row r="140" spans="1:18" ht="11.25" customHeight="1" x14ac:dyDescent="0.2">
      <c r="A140" s="20"/>
      <c r="B140" s="20"/>
      <c r="C140" s="8">
        <v>3</v>
      </c>
      <c r="D140" s="8">
        <v>24</v>
      </c>
      <c r="E140" s="9" t="s">
        <v>19</v>
      </c>
      <c r="F140" s="10" t="s">
        <v>23</v>
      </c>
      <c r="G140" s="10"/>
      <c r="H140" s="8">
        <v>9.1934553040000004</v>
      </c>
      <c r="I140" s="24">
        <v>1.5628250503686294E-2</v>
      </c>
      <c r="J140" s="11"/>
      <c r="K140" s="12"/>
      <c r="L140" s="8">
        <v>859454.93</v>
      </c>
      <c r="M140" s="36">
        <v>1.145796838776273E-3</v>
      </c>
      <c r="N140" s="8"/>
      <c r="O140" s="17"/>
      <c r="P140" s="8"/>
      <c r="Q140" s="16"/>
      <c r="R140" s="22"/>
    </row>
    <row r="141" spans="1:18" ht="11.25" customHeight="1" x14ac:dyDescent="0.2">
      <c r="A141" s="20"/>
      <c r="B141" s="20"/>
      <c r="C141" s="8">
        <v>3</v>
      </c>
      <c r="D141" s="8">
        <v>24</v>
      </c>
      <c r="E141" s="9" t="s">
        <v>20</v>
      </c>
      <c r="F141" s="10" t="s">
        <v>23</v>
      </c>
      <c r="G141" s="10"/>
      <c r="H141" s="8">
        <v>9.7397831339999996</v>
      </c>
      <c r="I141" s="24">
        <v>1.0628250503686295E-2</v>
      </c>
      <c r="J141" s="11"/>
      <c r="K141" s="12"/>
      <c r="L141" s="8">
        <v>442277.58</v>
      </c>
      <c r="M141" s="36">
        <v>5.8962981691852061E-4</v>
      </c>
      <c r="N141" s="8"/>
      <c r="O141" s="17"/>
      <c r="P141" s="8"/>
      <c r="Q141" s="16"/>
      <c r="R141" s="22"/>
    </row>
    <row r="142" spans="1:18" ht="11.25" customHeight="1" x14ac:dyDescent="0.2">
      <c r="A142" s="20"/>
      <c r="B142" s="20"/>
      <c r="C142" s="8">
        <v>3</v>
      </c>
      <c r="D142" s="8">
        <v>24</v>
      </c>
      <c r="E142" s="9" t="s">
        <v>21</v>
      </c>
      <c r="F142" s="10" t="s">
        <v>23</v>
      </c>
      <c r="G142" s="10"/>
      <c r="H142" s="8">
        <v>9.6695364769999994</v>
      </c>
      <c r="I142" s="24">
        <v>5.6282505036862936E-3</v>
      </c>
      <c r="J142" s="11"/>
      <c r="K142" s="12"/>
      <c r="L142" s="8">
        <v>189221.54</v>
      </c>
      <c r="M142" s="36">
        <v>2.5226388818361663E-4</v>
      </c>
      <c r="N142" s="8"/>
      <c r="O142" s="17"/>
      <c r="P142" s="8"/>
      <c r="Q142" s="16"/>
      <c r="R142" s="22"/>
    </row>
    <row r="143" spans="1:18" ht="11.25" customHeight="1" x14ac:dyDescent="0.2">
      <c r="A143" s="20"/>
      <c r="B143" s="20"/>
      <c r="C143" s="8">
        <v>3</v>
      </c>
      <c r="D143" s="8">
        <v>36</v>
      </c>
      <c r="E143" s="9" t="s">
        <v>14</v>
      </c>
      <c r="F143" s="10" t="s">
        <v>22</v>
      </c>
      <c r="G143" s="10"/>
      <c r="H143" s="8">
        <v>12.10640609</v>
      </c>
      <c r="I143" s="24">
        <v>6.2176928643864017E-2</v>
      </c>
      <c r="J143" s="11"/>
      <c r="K143" s="12"/>
      <c r="L143" s="8">
        <v>513906.57</v>
      </c>
      <c r="M143" s="36">
        <v>6.8512321330492249E-4</v>
      </c>
      <c r="N143" s="8"/>
      <c r="O143" s="17"/>
      <c r="P143" s="8"/>
      <c r="Q143" s="16"/>
      <c r="R143" s="22"/>
    </row>
    <row r="144" spans="1:18" ht="11.25" customHeight="1" x14ac:dyDescent="0.2">
      <c r="A144" s="20"/>
      <c r="B144" s="20"/>
      <c r="C144" s="8">
        <v>3</v>
      </c>
      <c r="D144" s="8">
        <v>36</v>
      </c>
      <c r="E144" s="9" t="s">
        <v>16</v>
      </c>
      <c r="F144" s="10" t="s">
        <v>22</v>
      </c>
      <c r="G144" s="10"/>
      <c r="H144" s="8">
        <v>11.0123198</v>
      </c>
      <c r="I144" s="24">
        <v>5.717692864386402E-2</v>
      </c>
      <c r="J144" s="11"/>
      <c r="K144" s="12"/>
      <c r="L144" s="8">
        <v>649028.24</v>
      </c>
      <c r="M144" s="36">
        <v>8.6526294714317118E-4</v>
      </c>
      <c r="N144" s="8"/>
      <c r="O144" s="17"/>
      <c r="P144" s="8"/>
      <c r="Q144" s="16"/>
      <c r="R144" s="22"/>
    </row>
    <row r="145" spans="1:18" ht="11.25" customHeight="1" x14ac:dyDescent="0.2">
      <c r="A145" s="20"/>
      <c r="B145" s="20"/>
      <c r="C145" s="8">
        <v>3</v>
      </c>
      <c r="D145" s="8">
        <v>36</v>
      </c>
      <c r="E145" s="9" t="s">
        <v>17</v>
      </c>
      <c r="F145" s="10" t="s">
        <v>22</v>
      </c>
      <c r="G145" s="10"/>
      <c r="H145" s="8">
        <v>10.154752950000001</v>
      </c>
      <c r="I145" s="24">
        <v>5.2176928643864022E-2</v>
      </c>
      <c r="J145" s="11"/>
      <c r="K145" s="12"/>
      <c r="L145" s="8">
        <v>551421.04999999993</v>
      </c>
      <c r="M145" s="36">
        <v>7.3513627517930789E-4</v>
      </c>
      <c r="N145" s="8"/>
      <c r="O145" s="17"/>
      <c r="P145" s="8"/>
      <c r="Q145" s="16"/>
      <c r="R145" s="22"/>
    </row>
    <row r="146" spans="1:18" ht="11.25" customHeight="1" x14ac:dyDescent="0.2">
      <c r="A146" s="20"/>
      <c r="B146" s="20"/>
      <c r="C146" s="8">
        <v>3</v>
      </c>
      <c r="D146" s="8">
        <v>36</v>
      </c>
      <c r="E146" s="9" t="s">
        <v>18</v>
      </c>
      <c r="F146" s="10" t="s">
        <v>22</v>
      </c>
      <c r="G146" s="10"/>
      <c r="H146" s="8">
        <v>8.4125901560000003</v>
      </c>
      <c r="I146" s="24">
        <v>4.7176928643864018E-2</v>
      </c>
      <c r="J146" s="11"/>
      <c r="K146" s="12"/>
      <c r="L146" s="8">
        <v>571265.3899999999</v>
      </c>
      <c r="M146" s="36">
        <v>7.6159209182067786E-4</v>
      </c>
      <c r="N146" s="8"/>
      <c r="O146" s="17"/>
      <c r="P146" s="8"/>
      <c r="Q146" s="16"/>
      <c r="R146" s="22"/>
    </row>
    <row r="147" spans="1:18" ht="11.25" customHeight="1" x14ac:dyDescent="0.2">
      <c r="A147" s="20"/>
      <c r="B147" s="20"/>
      <c r="C147" s="8">
        <v>3</v>
      </c>
      <c r="D147" s="8">
        <v>36</v>
      </c>
      <c r="E147" s="9" t="s">
        <v>19</v>
      </c>
      <c r="F147" s="10" t="s">
        <v>22</v>
      </c>
      <c r="G147" s="10"/>
      <c r="H147" s="8">
        <v>8.0370879249999998</v>
      </c>
      <c r="I147" s="24">
        <v>4.217692864386402E-2</v>
      </c>
      <c r="J147" s="11"/>
      <c r="K147" s="12"/>
      <c r="L147" s="8">
        <v>346730.16</v>
      </c>
      <c r="M147" s="36">
        <v>4.6224916207809901E-4</v>
      </c>
      <c r="N147" s="8"/>
      <c r="O147" s="17"/>
      <c r="P147" s="8"/>
      <c r="Q147" s="16"/>
      <c r="R147" s="22"/>
    </row>
    <row r="148" spans="1:18" ht="11.25" customHeight="1" x14ac:dyDescent="0.2">
      <c r="A148" s="20"/>
      <c r="B148" s="20"/>
      <c r="C148" s="8">
        <v>3</v>
      </c>
      <c r="D148" s="8">
        <v>36</v>
      </c>
      <c r="E148" s="9" t="s">
        <v>20</v>
      </c>
      <c r="F148" s="10" t="s">
        <v>22</v>
      </c>
      <c r="G148" s="10"/>
      <c r="H148" s="8">
        <v>9.7009042759999993</v>
      </c>
      <c r="I148" s="25">
        <v>3.7176928643864016E-2</v>
      </c>
      <c r="J148" s="11"/>
      <c r="K148" s="12"/>
      <c r="L148" s="8">
        <v>196657.58</v>
      </c>
      <c r="M148" s="36">
        <v>2.6217737035424531E-4</v>
      </c>
      <c r="N148" s="8"/>
      <c r="O148" s="17"/>
      <c r="P148" s="8"/>
      <c r="Q148" s="16"/>
      <c r="R148" s="22"/>
    </row>
    <row r="149" spans="1:18" ht="11.25" customHeight="1" x14ac:dyDescent="0.2">
      <c r="A149" s="20"/>
      <c r="B149" s="20"/>
      <c r="C149" s="8">
        <v>3</v>
      </c>
      <c r="D149" s="8">
        <v>36</v>
      </c>
      <c r="E149" s="9" t="s">
        <v>21</v>
      </c>
      <c r="F149" s="10" t="s">
        <v>22</v>
      </c>
      <c r="G149" s="10"/>
      <c r="H149" s="8">
        <v>8.2858341249999992</v>
      </c>
      <c r="I149" s="25">
        <v>3.2176928643864018E-2</v>
      </c>
      <c r="J149" s="11"/>
      <c r="K149" s="12"/>
      <c r="L149" s="8">
        <v>98609.69</v>
      </c>
      <c r="M149" s="36">
        <v>1.31463171750854E-4</v>
      </c>
      <c r="N149" s="8"/>
      <c r="O149" s="17"/>
      <c r="P149" s="8"/>
      <c r="Q149" s="16"/>
      <c r="R149" s="22"/>
    </row>
    <row r="150" spans="1:18" ht="11.25" customHeight="1" x14ac:dyDescent="0.2">
      <c r="A150" s="20"/>
      <c r="B150" s="20"/>
      <c r="C150" s="8">
        <v>3</v>
      </c>
      <c r="D150" s="8">
        <v>36</v>
      </c>
      <c r="E150" s="9" t="s">
        <v>17</v>
      </c>
      <c r="F150" s="10" t="s">
        <v>24</v>
      </c>
      <c r="G150" s="10"/>
      <c r="H150" s="8">
        <v>9.08</v>
      </c>
      <c r="I150" s="25">
        <v>5.2176928643864022E-2</v>
      </c>
      <c r="J150" s="11"/>
      <c r="K150" s="12"/>
      <c r="L150" s="8">
        <v>74395.649999999994</v>
      </c>
      <c r="M150" s="36">
        <v>9.918181583844774E-5</v>
      </c>
      <c r="N150" s="8"/>
      <c r="O150" s="17"/>
      <c r="P150" s="8"/>
      <c r="Q150" s="16"/>
      <c r="R150" s="22"/>
    </row>
    <row r="151" spans="1:18" ht="11.25" customHeight="1" x14ac:dyDescent="0.2">
      <c r="A151" s="20"/>
      <c r="B151" s="20"/>
      <c r="C151" s="8">
        <v>3</v>
      </c>
      <c r="D151" s="8">
        <v>36</v>
      </c>
      <c r="E151" s="9" t="s">
        <v>14</v>
      </c>
      <c r="F151" s="10" t="s">
        <v>23</v>
      </c>
      <c r="G151" s="10"/>
      <c r="H151" s="8">
        <v>12.12113664</v>
      </c>
      <c r="I151" s="25">
        <v>5.2176928643864022E-2</v>
      </c>
      <c r="J151" s="11"/>
      <c r="K151" s="12"/>
      <c r="L151" s="8">
        <v>1557496.01</v>
      </c>
      <c r="M151" s="36">
        <v>2.0764020804030499E-3</v>
      </c>
      <c r="N151" s="8"/>
      <c r="O151" s="17"/>
      <c r="P151" s="8"/>
      <c r="Q151" s="16"/>
      <c r="R151" s="22"/>
    </row>
    <row r="152" spans="1:18" ht="11.25" customHeight="1" x14ac:dyDescent="0.2">
      <c r="A152" s="20"/>
      <c r="B152" s="20"/>
      <c r="C152" s="8">
        <v>3</v>
      </c>
      <c r="D152" s="8">
        <v>36</v>
      </c>
      <c r="E152" s="9" t="s">
        <v>16</v>
      </c>
      <c r="F152" s="10" t="s">
        <v>23</v>
      </c>
      <c r="G152" s="10"/>
      <c r="H152" s="8">
        <v>12.905824539999999</v>
      </c>
      <c r="I152" s="25">
        <v>4.7176928643864018E-2</v>
      </c>
      <c r="J152" s="11"/>
      <c r="K152" s="12"/>
      <c r="L152" s="8">
        <v>1673015.98</v>
      </c>
      <c r="M152" s="36">
        <v>2.230409477209221E-3</v>
      </c>
      <c r="N152" s="8"/>
      <c r="O152" s="17"/>
      <c r="P152" s="8"/>
      <c r="Q152" s="16"/>
      <c r="R152" s="22"/>
    </row>
    <row r="153" spans="1:18" ht="11.25" customHeight="1" x14ac:dyDescent="0.2">
      <c r="A153" s="20"/>
      <c r="B153" s="20"/>
      <c r="C153" s="8">
        <v>3</v>
      </c>
      <c r="D153" s="8">
        <v>36</v>
      </c>
      <c r="E153" s="9" t="s">
        <v>17</v>
      </c>
      <c r="F153" s="10" t="s">
        <v>23</v>
      </c>
      <c r="G153" s="10"/>
      <c r="H153" s="8">
        <v>11.872011430000001</v>
      </c>
      <c r="I153" s="25">
        <v>4.217692864386402E-2</v>
      </c>
      <c r="J153" s="11"/>
      <c r="K153" s="12"/>
      <c r="L153" s="8">
        <v>1233910.69</v>
      </c>
      <c r="M153" s="36">
        <v>1.64500885222015E-3</v>
      </c>
      <c r="N153" s="8"/>
      <c r="O153" s="17"/>
      <c r="P153" s="8"/>
      <c r="Q153" s="16"/>
      <c r="R153" s="22"/>
    </row>
    <row r="154" spans="1:18" ht="11.25" customHeight="1" x14ac:dyDescent="0.2">
      <c r="A154" s="20"/>
      <c r="B154" s="20"/>
      <c r="C154" s="8">
        <v>3</v>
      </c>
      <c r="D154" s="8">
        <v>36</v>
      </c>
      <c r="E154" s="9" t="s">
        <v>18</v>
      </c>
      <c r="F154" s="10" t="s">
        <v>23</v>
      </c>
      <c r="G154" s="10"/>
      <c r="H154" s="8">
        <v>11.208843809999999</v>
      </c>
      <c r="I154" s="25">
        <v>3.7176928643864023E-2</v>
      </c>
      <c r="J154" s="11"/>
      <c r="K154" s="12"/>
      <c r="L154" s="8">
        <v>1178569.8</v>
      </c>
      <c r="M154" s="36">
        <v>1.571230211126003E-3</v>
      </c>
      <c r="N154" s="8"/>
      <c r="O154" s="17"/>
      <c r="P154" s="8"/>
      <c r="Q154" s="16"/>
      <c r="R154" s="22"/>
    </row>
    <row r="155" spans="1:18" ht="11.25" customHeight="1" x14ac:dyDescent="0.2">
      <c r="A155" s="20"/>
      <c r="B155" s="20"/>
      <c r="C155" s="8">
        <v>3</v>
      </c>
      <c r="D155" s="8">
        <v>36</v>
      </c>
      <c r="E155" s="9" t="s">
        <v>19</v>
      </c>
      <c r="F155" s="10" t="s">
        <v>23</v>
      </c>
      <c r="G155" s="10"/>
      <c r="H155" s="8">
        <v>11.34050036</v>
      </c>
      <c r="I155" s="25">
        <v>3.2176928643864018E-2</v>
      </c>
      <c r="J155" s="11"/>
      <c r="K155" s="12"/>
      <c r="L155" s="8">
        <v>684141.25</v>
      </c>
      <c r="M155" s="36">
        <v>9.1207444877469896E-4</v>
      </c>
      <c r="N155" s="8"/>
      <c r="O155" s="17"/>
      <c r="P155" s="8"/>
      <c r="Q155" s="16"/>
      <c r="R155" s="22"/>
    </row>
    <row r="156" spans="1:18" ht="11.25" customHeight="1" x14ac:dyDescent="0.2">
      <c r="A156" s="20"/>
      <c r="B156" s="20"/>
      <c r="C156" s="8">
        <v>3</v>
      </c>
      <c r="D156" s="8">
        <v>36</v>
      </c>
      <c r="E156" s="9" t="s">
        <v>20</v>
      </c>
      <c r="F156" s="10" t="s">
        <v>23</v>
      </c>
      <c r="G156" s="10"/>
      <c r="H156" s="8">
        <v>10.30125533</v>
      </c>
      <c r="I156" s="25">
        <v>2.7176928643864017E-2</v>
      </c>
      <c r="J156" s="11"/>
      <c r="K156" s="12"/>
      <c r="L156" s="8">
        <v>565816.35000000009</v>
      </c>
      <c r="M156" s="36">
        <v>7.543276122203745E-4</v>
      </c>
      <c r="N156" s="8"/>
      <c r="O156" s="17"/>
      <c r="P156" s="8"/>
      <c r="Q156" s="16"/>
      <c r="R156" s="22"/>
    </row>
    <row r="157" spans="1:18" ht="11.25" customHeight="1" x14ac:dyDescent="0.2">
      <c r="A157" s="20"/>
      <c r="B157" s="20"/>
      <c r="C157" s="8">
        <v>3</v>
      </c>
      <c r="D157" s="8">
        <v>36</v>
      </c>
      <c r="E157" s="9" t="s">
        <v>21</v>
      </c>
      <c r="F157" s="10" t="s">
        <v>23</v>
      </c>
      <c r="G157" s="10"/>
      <c r="H157" s="8">
        <v>9.1073338059999998</v>
      </c>
      <c r="I157" s="25">
        <v>2.2176928643864016E-2</v>
      </c>
      <c r="J157" s="11"/>
      <c r="K157" s="12"/>
      <c r="L157" s="8">
        <v>85133.45</v>
      </c>
      <c r="M157" s="36">
        <v>1.1349709505316099E-4</v>
      </c>
      <c r="N157" s="8"/>
      <c r="O157" s="17"/>
      <c r="P157" s="8"/>
      <c r="Q157" s="16"/>
      <c r="R157" s="22"/>
    </row>
    <row r="158" spans="1:18" ht="11.25" customHeight="1" x14ac:dyDescent="0.2">
      <c r="A158" s="20"/>
      <c r="B158" s="20"/>
      <c r="C158" s="8">
        <v>3</v>
      </c>
      <c r="D158" s="8">
        <v>48</v>
      </c>
      <c r="E158" s="9" t="s">
        <v>14</v>
      </c>
      <c r="F158" s="10" t="s">
        <v>22</v>
      </c>
      <c r="G158" s="10"/>
      <c r="H158" s="8">
        <v>12.160327560000001</v>
      </c>
      <c r="I158" s="25">
        <v>0.10211840231257538</v>
      </c>
      <c r="J158" s="11"/>
      <c r="K158" s="12"/>
      <c r="L158" s="8">
        <v>1141075.67</v>
      </c>
      <c r="M158" s="36">
        <v>1.5212442791974179E-3</v>
      </c>
      <c r="N158" s="8"/>
      <c r="O158" s="17"/>
      <c r="P158" s="8"/>
      <c r="Q158" s="16"/>
      <c r="R158" s="22"/>
    </row>
    <row r="159" spans="1:18" ht="11.25" customHeight="1" x14ac:dyDescent="0.2">
      <c r="C159" s="8">
        <v>3</v>
      </c>
      <c r="D159" s="8">
        <v>48</v>
      </c>
      <c r="E159" s="9" t="s">
        <v>16</v>
      </c>
      <c r="F159" s="10" t="s">
        <v>22</v>
      </c>
      <c r="G159" s="10"/>
      <c r="H159" s="8">
        <v>12.093637279999999</v>
      </c>
      <c r="I159" s="25">
        <v>9.7118402312575375E-2</v>
      </c>
      <c r="J159" s="11"/>
      <c r="K159" s="12"/>
      <c r="L159" s="8">
        <v>796346.81</v>
      </c>
      <c r="M159" s="36">
        <v>1.0616631839758821E-3</v>
      </c>
      <c r="N159" s="8"/>
      <c r="O159" s="17"/>
      <c r="P159" s="8"/>
      <c r="Q159" s="16"/>
    </row>
    <row r="160" spans="1:18" ht="11.25" customHeight="1" x14ac:dyDescent="0.2">
      <c r="C160" s="8">
        <v>3</v>
      </c>
      <c r="D160" s="8">
        <v>48</v>
      </c>
      <c r="E160" s="9" t="s">
        <v>17</v>
      </c>
      <c r="F160" s="10" t="s">
        <v>22</v>
      </c>
      <c r="G160" s="10"/>
      <c r="H160" s="8">
        <v>11.255091520000001</v>
      </c>
      <c r="I160" s="25">
        <v>9.2118402312575384E-2</v>
      </c>
      <c r="J160" s="11"/>
      <c r="K160" s="12"/>
      <c r="L160" s="8">
        <v>987865.52000000014</v>
      </c>
      <c r="M160" s="36">
        <v>1.316989583097835E-3</v>
      </c>
      <c r="N160" s="8"/>
      <c r="O160" s="17"/>
      <c r="P160" s="8"/>
      <c r="Q160" s="16"/>
    </row>
    <row r="161" spans="3:17" ht="11.25" customHeight="1" x14ac:dyDescent="0.2">
      <c r="C161" s="8">
        <v>3</v>
      </c>
      <c r="D161" s="8">
        <v>48</v>
      </c>
      <c r="E161" s="9" t="s">
        <v>18</v>
      </c>
      <c r="F161" s="10" t="s">
        <v>22</v>
      </c>
      <c r="G161" s="10"/>
      <c r="H161" s="8">
        <v>10.71052413</v>
      </c>
      <c r="I161" s="25">
        <v>8.711840231257538E-2</v>
      </c>
      <c r="J161" s="11"/>
      <c r="K161" s="12"/>
      <c r="L161" s="8">
        <v>1413555.81</v>
      </c>
      <c r="M161" s="36">
        <v>1.88450577452832E-3</v>
      </c>
      <c r="N161" s="8"/>
      <c r="O161" s="17"/>
      <c r="P161" s="8"/>
      <c r="Q161" s="16"/>
    </row>
    <row r="162" spans="3:17" ht="11.25" customHeight="1" x14ac:dyDescent="0.2">
      <c r="C162" s="8">
        <v>3</v>
      </c>
      <c r="D162" s="8">
        <v>48</v>
      </c>
      <c r="E162" s="9" t="s">
        <v>19</v>
      </c>
      <c r="F162" s="10" t="s">
        <v>22</v>
      </c>
      <c r="G162" s="10"/>
      <c r="H162" s="8">
        <v>9.7244889489999995</v>
      </c>
      <c r="I162" s="25">
        <v>8.2118402312575375E-2</v>
      </c>
      <c r="J162" s="11"/>
      <c r="K162" s="12"/>
      <c r="L162" s="8">
        <v>400649.96</v>
      </c>
      <c r="M162" s="36">
        <v>5.3413325306521896E-4</v>
      </c>
      <c r="N162" s="8"/>
      <c r="O162" s="17"/>
      <c r="P162" s="8"/>
      <c r="Q162" s="16"/>
    </row>
    <row r="163" spans="3:17" ht="11.25" customHeight="1" x14ac:dyDescent="0.2">
      <c r="C163" s="8">
        <v>3</v>
      </c>
      <c r="D163" s="8">
        <v>48</v>
      </c>
      <c r="E163" s="9" t="s">
        <v>20</v>
      </c>
      <c r="F163" s="10" t="s">
        <v>22</v>
      </c>
      <c r="G163" s="10"/>
      <c r="H163" s="8">
        <v>9.3618917219999993</v>
      </c>
      <c r="I163" s="25">
        <v>7.7118402312575385E-2</v>
      </c>
      <c r="J163" s="11"/>
      <c r="K163" s="12"/>
      <c r="L163" s="8">
        <v>325960.28999999998</v>
      </c>
      <c r="M163" s="36">
        <v>4.3455945950370781E-4</v>
      </c>
      <c r="N163" s="8"/>
      <c r="O163" s="17"/>
      <c r="P163" s="8"/>
      <c r="Q163" s="16"/>
    </row>
    <row r="164" spans="3:17" ht="11.25" customHeight="1" x14ac:dyDescent="0.2">
      <c r="C164" s="8">
        <v>3</v>
      </c>
      <c r="D164" s="8">
        <v>48</v>
      </c>
      <c r="E164" s="9" t="s">
        <v>21</v>
      </c>
      <c r="F164" s="10" t="s">
        <v>22</v>
      </c>
      <c r="G164" s="10"/>
      <c r="H164" s="8">
        <v>9.2232113859999991</v>
      </c>
      <c r="I164" s="25">
        <v>7.211840231257538E-2</v>
      </c>
      <c r="J164" s="11"/>
      <c r="K164" s="12"/>
      <c r="L164" s="8">
        <v>239687.62</v>
      </c>
      <c r="M164" s="36">
        <v>3.1954359408911459E-4</v>
      </c>
      <c r="N164" s="8"/>
      <c r="O164" s="17"/>
      <c r="P164" s="8"/>
      <c r="Q164" s="16"/>
    </row>
    <row r="165" spans="3:17" ht="11.25" customHeight="1" x14ac:dyDescent="0.2">
      <c r="C165" s="8">
        <v>3</v>
      </c>
      <c r="D165" s="8">
        <v>48</v>
      </c>
      <c r="E165" s="9" t="s">
        <v>14</v>
      </c>
      <c r="F165" s="10" t="s">
        <v>23</v>
      </c>
      <c r="G165" s="10"/>
      <c r="H165" s="8">
        <v>13.96175098</v>
      </c>
      <c r="I165" s="25">
        <v>9.2118402312575384E-2</v>
      </c>
      <c r="J165" s="11"/>
      <c r="K165" s="12"/>
      <c r="L165" s="8">
        <v>1945656.92</v>
      </c>
      <c r="M165" s="36">
        <v>2.5938853457727899E-3</v>
      </c>
      <c r="N165" s="8"/>
      <c r="O165" s="17"/>
      <c r="P165" s="8"/>
      <c r="Q165" s="16"/>
    </row>
    <row r="166" spans="3:17" ht="11.25" customHeight="1" x14ac:dyDescent="0.2">
      <c r="C166" s="8">
        <v>3</v>
      </c>
      <c r="D166" s="8">
        <v>48</v>
      </c>
      <c r="E166" s="9" t="s">
        <v>16</v>
      </c>
      <c r="F166" s="10" t="s">
        <v>23</v>
      </c>
      <c r="G166" s="10"/>
      <c r="H166" s="8">
        <v>13.89493328</v>
      </c>
      <c r="I166" s="25">
        <v>8.711840231257538E-2</v>
      </c>
      <c r="J166" s="11"/>
      <c r="K166" s="12"/>
      <c r="L166" s="8">
        <v>2370564.77</v>
      </c>
      <c r="M166" s="36">
        <v>3.1603584141176571E-3</v>
      </c>
      <c r="N166" s="8"/>
      <c r="O166" s="17"/>
      <c r="P166" s="8"/>
      <c r="Q166" s="16"/>
    </row>
    <row r="167" spans="3:17" ht="11.25" customHeight="1" x14ac:dyDescent="0.2">
      <c r="C167" s="8">
        <v>3</v>
      </c>
      <c r="D167" s="8">
        <v>48</v>
      </c>
      <c r="E167" s="9" t="s">
        <v>17</v>
      </c>
      <c r="F167" s="10" t="s">
        <v>23</v>
      </c>
      <c r="G167" s="10"/>
      <c r="H167" s="8">
        <v>13.416330090000001</v>
      </c>
      <c r="I167" s="25">
        <v>8.2118402312575375E-2</v>
      </c>
      <c r="J167" s="11"/>
      <c r="K167" s="12"/>
      <c r="L167" s="8">
        <v>2299233.0699999998</v>
      </c>
      <c r="M167" s="36">
        <v>3.0652613549099822E-3</v>
      </c>
      <c r="N167" s="8"/>
      <c r="O167" s="17"/>
      <c r="P167" s="8"/>
      <c r="Q167" s="16"/>
    </row>
    <row r="168" spans="3:17" ht="11.25" customHeight="1" x14ac:dyDescent="0.2">
      <c r="C168" s="8">
        <v>3</v>
      </c>
      <c r="D168" s="8">
        <v>48</v>
      </c>
      <c r="E168" s="9" t="s">
        <v>18</v>
      </c>
      <c r="F168" s="10" t="s">
        <v>23</v>
      </c>
      <c r="G168" s="10"/>
      <c r="H168" s="8">
        <v>12.97847193</v>
      </c>
      <c r="I168" s="25">
        <v>7.7118402312575385E-2</v>
      </c>
      <c r="J168" s="11"/>
      <c r="K168" s="12"/>
      <c r="L168" s="8">
        <v>1706623.75</v>
      </c>
      <c r="M168" s="36">
        <v>2.2752142427416269E-3</v>
      </c>
      <c r="N168" s="8"/>
      <c r="O168" s="17"/>
      <c r="P168" s="8"/>
      <c r="Q168" s="16"/>
    </row>
    <row r="169" spans="3:17" ht="11.25" customHeight="1" x14ac:dyDescent="0.2">
      <c r="C169" s="8">
        <v>3</v>
      </c>
      <c r="D169" s="8">
        <v>48</v>
      </c>
      <c r="E169" s="9" t="s">
        <v>19</v>
      </c>
      <c r="F169" s="10" t="s">
        <v>23</v>
      </c>
      <c r="G169" s="10"/>
      <c r="H169" s="8">
        <v>12.24850711</v>
      </c>
      <c r="I169" s="25">
        <v>7.211840231257538E-2</v>
      </c>
      <c r="J169" s="11"/>
      <c r="K169" s="12"/>
      <c r="L169" s="8">
        <v>1103667.51</v>
      </c>
      <c r="M169" s="36">
        <v>1.4713729596246309E-3</v>
      </c>
      <c r="N169" s="8"/>
      <c r="O169" s="17"/>
      <c r="P169" s="8"/>
      <c r="Q169" s="16"/>
    </row>
    <row r="170" spans="3:17" ht="11.25" customHeight="1" x14ac:dyDescent="0.2">
      <c r="C170" s="8">
        <v>3</v>
      </c>
      <c r="D170" s="8">
        <v>48</v>
      </c>
      <c r="E170" s="9" t="s">
        <v>20</v>
      </c>
      <c r="F170" s="10" t="s">
        <v>23</v>
      </c>
      <c r="G170" s="10"/>
      <c r="H170" s="8">
        <v>12.660765059999999</v>
      </c>
      <c r="I170" s="25">
        <v>6.7118402312575376E-2</v>
      </c>
      <c r="J170" s="11"/>
      <c r="K170" s="12"/>
      <c r="L170" s="8">
        <v>527772.41999999993</v>
      </c>
      <c r="M170" s="36">
        <v>7.0360870514676443E-4</v>
      </c>
      <c r="N170" s="8"/>
      <c r="O170" s="17"/>
      <c r="P170" s="8"/>
      <c r="Q170" s="16"/>
    </row>
    <row r="171" spans="3:17" ht="11.25" customHeight="1" x14ac:dyDescent="0.2">
      <c r="C171" s="8">
        <v>3</v>
      </c>
      <c r="D171" s="8">
        <v>48</v>
      </c>
      <c r="E171" s="9" t="s">
        <v>21</v>
      </c>
      <c r="F171" s="10" t="s">
        <v>23</v>
      </c>
      <c r="G171" s="10"/>
      <c r="H171" s="8">
        <v>12.28046893</v>
      </c>
      <c r="I171" s="25">
        <v>6.2118402312575378E-2</v>
      </c>
      <c r="J171" s="11"/>
      <c r="K171" s="12"/>
      <c r="L171" s="8">
        <v>329529.67</v>
      </c>
      <c r="M171" s="36">
        <v>4.3931803866549269E-4</v>
      </c>
      <c r="N171" s="8"/>
      <c r="O171" s="17"/>
      <c r="P171" s="8"/>
      <c r="Q171" s="16"/>
    </row>
    <row r="172" spans="3:17" ht="11.25" customHeight="1" x14ac:dyDescent="0.2">
      <c r="C172" s="8">
        <v>3</v>
      </c>
      <c r="D172" s="8">
        <v>60</v>
      </c>
      <c r="E172" s="9" t="s">
        <v>14</v>
      </c>
      <c r="F172" s="10" t="s">
        <v>22</v>
      </c>
      <c r="G172" s="10"/>
      <c r="H172" s="8">
        <v>12.7951579</v>
      </c>
      <c r="I172" s="25">
        <v>0.12681240699889831</v>
      </c>
      <c r="J172" s="11"/>
      <c r="K172" s="12"/>
      <c r="L172" s="8">
        <v>3731544.21</v>
      </c>
      <c r="M172" s="36">
        <v>4.9747711140267744E-3</v>
      </c>
      <c r="N172" s="8"/>
      <c r="O172" s="17"/>
      <c r="P172" s="8"/>
      <c r="Q172" s="16"/>
    </row>
    <row r="173" spans="3:17" ht="11.25" customHeight="1" x14ac:dyDescent="0.2">
      <c r="C173" s="8">
        <v>3</v>
      </c>
      <c r="D173" s="8">
        <v>60</v>
      </c>
      <c r="E173" s="9" t="s">
        <v>16</v>
      </c>
      <c r="F173" s="10" t="s">
        <v>22</v>
      </c>
      <c r="G173" s="10"/>
      <c r="H173" s="8">
        <v>12.675032849999999</v>
      </c>
      <c r="I173" s="25">
        <v>0.12181240699889831</v>
      </c>
      <c r="J173" s="11"/>
      <c r="K173" s="12"/>
      <c r="L173" s="8">
        <v>4932984.6900000004</v>
      </c>
      <c r="M173" s="36">
        <v>6.5764917580189474E-3</v>
      </c>
      <c r="N173" s="8"/>
      <c r="O173" s="17"/>
      <c r="P173" s="8"/>
      <c r="Q173" s="16"/>
    </row>
    <row r="174" spans="3:17" ht="11.25" customHeight="1" x14ac:dyDescent="0.2">
      <c r="C174" s="8">
        <v>3</v>
      </c>
      <c r="D174" s="8">
        <v>60</v>
      </c>
      <c r="E174" s="9" t="s">
        <v>17</v>
      </c>
      <c r="F174" s="10" t="s">
        <v>22</v>
      </c>
      <c r="G174" s="10"/>
      <c r="H174" s="8">
        <v>11.61504416</v>
      </c>
      <c r="I174" s="25">
        <v>0.1168124069988983</v>
      </c>
      <c r="J174" s="11"/>
      <c r="K174" s="12"/>
      <c r="L174" s="8">
        <v>4846679.49</v>
      </c>
      <c r="M174" s="36">
        <v>6.461432524686078E-3</v>
      </c>
      <c r="N174" s="8"/>
      <c r="O174" s="17"/>
      <c r="P174" s="8"/>
      <c r="Q174" s="16"/>
    </row>
    <row r="175" spans="3:17" ht="11.25" customHeight="1" x14ac:dyDescent="0.2">
      <c r="C175" s="8">
        <v>3</v>
      </c>
      <c r="D175" s="8">
        <v>60</v>
      </c>
      <c r="E175" s="9" t="s">
        <v>18</v>
      </c>
      <c r="F175" s="10" t="s">
        <v>22</v>
      </c>
      <c r="G175" s="10"/>
      <c r="H175" s="8">
        <v>10.73575542</v>
      </c>
      <c r="I175" s="25">
        <v>0.1118124069988983</v>
      </c>
      <c r="J175" s="11"/>
      <c r="K175" s="12"/>
      <c r="L175" s="8">
        <v>3415225.77</v>
      </c>
      <c r="M175" s="36">
        <v>4.5530658495068037E-3</v>
      </c>
      <c r="N175" s="8"/>
      <c r="O175" s="17"/>
      <c r="P175" s="8"/>
      <c r="Q175" s="16"/>
    </row>
    <row r="176" spans="3:17" ht="11.25" customHeight="1" x14ac:dyDescent="0.2">
      <c r="C176" s="8">
        <v>3</v>
      </c>
      <c r="D176" s="8">
        <v>60</v>
      </c>
      <c r="E176" s="9" t="s">
        <v>19</v>
      </c>
      <c r="F176" s="10" t="s">
        <v>22</v>
      </c>
      <c r="G176" s="10"/>
      <c r="H176" s="8">
        <v>10.33139246</v>
      </c>
      <c r="I176" s="25">
        <v>0.10681240699889831</v>
      </c>
      <c r="J176" s="11"/>
      <c r="K176" s="12"/>
      <c r="L176" s="8">
        <v>2695461.24</v>
      </c>
      <c r="M176" s="36">
        <v>3.5934996240419171E-3</v>
      </c>
      <c r="N176" s="8"/>
      <c r="O176" s="17"/>
      <c r="P176" s="8"/>
      <c r="Q176" s="16"/>
    </row>
    <row r="177" spans="3:17" ht="11.25" customHeight="1" x14ac:dyDescent="0.2">
      <c r="C177" s="8">
        <v>3</v>
      </c>
      <c r="D177" s="8">
        <v>60</v>
      </c>
      <c r="E177" s="9" t="s">
        <v>20</v>
      </c>
      <c r="F177" s="10" t="s">
        <v>22</v>
      </c>
      <c r="G177" s="10"/>
      <c r="H177" s="8">
        <v>10.02147497</v>
      </c>
      <c r="I177" s="25">
        <v>0.10181240699889831</v>
      </c>
      <c r="J177" s="11"/>
      <c r="K177" s="12"/>
      <c r="L177" s="8">
        <v>1666762.41</v>
      </c>
      <c r="M177" s="36">
        <v>2.2220724248671439E-3</v>
      </c>
      <c r="N177" s="8"/>
      <c r="O177" s="17"/>
      <c r="P177" s="8"/>
      <c r="Q177" s="16"/>
    </row>
    <row r="178" spans="3:17" ht="11.25" customHeight="1" x14ac:dyDescent="0.2">
      <c r="C178" s="8">
        <v>3</v>
      </c>
      <c r="D178" s="8">
        <v>60</v>
      </c>
      <c r="E178" s="9" t="s">
        <v>21</v>
      </c>
      <c r="F178" s="10" t="s">
        <v>22</v>
      </c>
      <c r="G178" s="10"/>
      <c r="H178" s="8">
        <v>10.471057289999999</v>
      </c>
      <c r="I178" s="25">
        <v>9.6812406998898301E-2</v>
      </c>
      <c r="J178" s="11"/>
      <c r="K178" s="12"/>
      <c r="L178" s="8">
        <v>713816.59000000008</v>
      </c>
      <c r="M178" s="36">
        <v>9.5163662891323308E-4</v>
      </c>
      <c r="N178" s="8"/>
      <c r="O178" s="17"/>
      <c r="P178" s="8"/>
      <c r="Q178" s="16"/>
    </row>
    <row r="179" spans="3:17" ht="11.25" customHeight="1" x14ac:dyDescent="0.2">
      <c r="C179" s="8">
        <v>3</v>
      </c>
      <c r="D179" s="8">
        <v>60</v>
      </c>
      <c r="E179" s="9" t="s">
        <v>14</v>
      </c>
      <c r="F179" s="10" t="s">
        <v>24</v>
      </c>
      <c r="G179" s="10"/>
      <c r="H179" s="8">
        <v>16.489999999999998</v>
      </c>
      <c r="I179" s="25">
        <v>0.12681240699889831</v>
      </c>
      <c r="J179" s="11"/>
      <c r="K179" s="12"/>
      <c r="L179" s="8">
        <v>7738.94</v>
      </c>
      <c r="M179" s="36">
        <v>1.031729841549602E-5</v>
      </c>
      <c r="N179" s="8"/>
      <c r="O179" s="17"/>
      <c r="P179" s="8"/>
      <c r="Q179" s="16"/>
    </row>
    <row r="180" spans="3:17" ht="11.25" customHeight="1" x14ac:dyDescent="0.2">
      <c r="C180" s="8">
        <v>3</v>
      </c>
      <c r="D180" s="8">
        <v>60</v>
      </c>
      <c r="E180" s="9" t="s">
        <v>18</v>
      </c>
      <c r="F180" s="10" t="s">
        <v>24</v>
      </c>
      <c r="G180" s="10"/>
      <c r="H180" s="8">
        <v>16.34</v>
      </c>
      <c r="I180" s="25">
        <v>0.1118124069988983</v>
      </c>
      <c r="J180" s="11"/>
      <c r="K180" s="12"/>
      <c r="L180" s="8">
        <v>63844.46</v>
      </c>
      <c r="M180" s="36">
        <v>8.5115318893310874E-5</v>
      </c>
      <c r="N180" s="8"/>
      <c r="O180" s="17"/>
      <c r="P180" s="8"/>
      <c r="Q180" s="16"/>
    </row>
    <row r="181" spans="3:17" ht="11.25" customHeight="1" x14ac:dyDescent="0.2">
      <c r="C181" s="8">
        <v>3</v>
      </c>
      <c r="D181" s="8">
        <v>60</v>
      </c>
      <c r="E181" s="9" t="s">
        <v>19</v>
      </c>
      <c r="F181" s="10" t="s">
        <v>24</v>
      </c>
      <c r="G181" s="10"/>
      <c r="H181" s="8">
        <v>14.24</v>
      </c>
      <c r="I181" s="25">
        <v>0.10681240699889831</v>
      </c>
      <c r="J181" s="11"/>
      <c r="K181" s="12"/>
      <c r="L181" s="8">
        <v>96789.9</v>
      </c>
      <c r="M181" s="36">
        <v>1.29037088012831E-4</v>
      </c>
      <c r="N181" s="8"/>
      <c r="O181" s="17"/>
      <c r="P181" s="8"/>
      <c r="Q181" s="16"/>
    </row>
    <row r="182" spans="3:17" ht="11.25" customHeight="1" x14ac:dyDescent="0.2">
      <c r="C182" s="8">
        <v>3</v>
      </c>
      <c r="D182" s="8">
        <v>60</v>
      </c>
      <c r="E182" s="9" t="s">
        <v>14</v>
      </c>
      <c r="F182" s="10" t="s">
        <v>23</v>
      </c>
      <c r="G182" s="10"/>
      <c r="H182" s="8">
        <v>14.96275649</v>
      </c>
      <c r="I182" s="25">
        <v>0.1168124069988983</v>
      </c>
      <c r="J182" s="11"/>
      <c r="K182" s="12"/>
      <c r="L182" s="8">
        <v>7785143.9400000004</v>
      </c>
      <c r="M182" s="36">
        <v>1.0378895977559E-2</v>
      </c>
      <c r="N182" s="8"/>
      <c r="O182" s="17"/>
      <c r="P182" s="8"/>
      <c r="Q182" s="16"/>
    </row>
    <row r="183" spans="3:17" ht="11.25" customHeight="1" x14ac:dyDescent="0.2">
      <c r="C183" s="8">
        <v>3</v>
      </c>
      <c r="D183" s="8">
        <v>60</v>
      </c>
      <c r="E183" s="9" t="s">
        <v>16</v>
      </c>
      <c r="F183" s="10" t="s">
        <v>23</v>
      </c>
      <c r="G183" s="10"/>
      <c r="H183" s="8">
        <v>15.08945896</v>
      </c>
      <c r="I183" s="25">
        <v>0.1118124069988983</v>
      </c>
      <c r="J183" s="11"/>
      <c r="K183" s="12"/>
      <c r="L183" s="8">
        <v>7613868.29</v>
      </c>
      <c r="M183" s="36">
        <v>1.0150556955372749E-2</v>
      </c>
      <c r="N183" s="8"/>
      <c r="O183" s="17"/>
      <c r="P183" s="8"/>
      <c r="Q183" s="16"/>
    </row>
    <row r="184" spans="3:17" ht="11.25" customHeight="1" x14ac:dyDescent="0.2">
      <c r="C184" s="27">
        <v>3</v>
      </c>
      <c r="D184" s="27">
        <v>60</v>
      </c>
      <c r="E184" s="28" t="s">
        <v>17</v>
      </c>
      <c r="F184" s="29" t="s">
        <v>23</v>
      </c>
      <c r="G184" s="29"/>
      <c r="H184" s="27">
        <v>14.88458801</v>
      </c>
      <c r="I184" s="30">
        <v>0.10681240699889831</v>
      </c>
      <c r="J184" s="30">
        <v>1.0333000000000001</v>
      </c>
      <c r="K184" s="31">
        <v>106.1</v>
      </c>
      <c r="L184" s="27">
        <v>9528095.9199999999</v>
      </c>
      <c r="M184" s="37">
        <v>1.270254181297569E-2</v>
      </c>
      <c r="N184" s="8"/>
      <c r="O184" s="17"/>
      <c r="P184" s="8"/>
      <c r="Q184" s="16"/>
    </row>
    <row r="185" spans="3:17" ht="11.25" customHeight="1" x14ac:dyDescent="0.2">
      <c r="C185" s="8">
        <v>3</v>
      </c>
      <c r="D185" s="8">
        <v>60</v>
      </c>
      <c r="E185" s="9" t="s">
        <v>18</v>
      </c>
      <c r="F185" s="10" t="s">
        <v>23</v>
      </c>
      <c r="G185" s="10"/>
      <c r="H185" s="8">
        <v>14.41172823</v>
      </c>
      <c r="I185" s="25">
        <v>0.10181240699889831</v>
      </c>
      <c r="J185" s="11"/>
      <c r="K185" s="12"/>
      <c r="L185" s="8">
        <v>5721160.1399999987</v>
      </c>
      <c r="M185" s="36">
        <v>7.6272611555614836E-3</v>
      </c>
      <c r="N185" s="8"/>
      <c r="O185" s="17"/>
      <c r="P185" s="8"/>
      <c r="Q185" s="16"/>
    </row>
    <row r="186" spans="3:17" ht="11.25" customHeight="1" x14ac:dyDescent="0.2">
      <c r="C186" s="8">
        <v>3</v>
      </c>
      <c r="D186" s="8">
        <v>60</v>
      </c>
      <c r="E186" s="9" t="s">
        <v>19</v>
      </c>
      <c r="F186" s="10" t="s">
        <v>23</v>
      </c>
      <c r="G186" s="10"/>
      <c r="H186" s="8">
        <v>13.54769003</v>
      </c>
      <c r="I186" s="25">
        <v>9.6812406998898301E-2</v>
      </c>
      <c r="J186" s="11"/>
      <c r="K186" s="12"/>
      <c r="L186" s="8">
        <v>3361574.9</v>
      </c>
      <c r="M186" s="36">
        <v>4.4815402870859843E-3</v>
      </c>
      <c r="N186" s="8"/>
      <c r="O186" s="17"/>
      <c r="P186" s="8"/>
      <c r="Q186" s="16"/>
    </row>
    <row r="187" spans="3:17" ht="11.25" customHeight="1" x14ac:dyDescent="0.2">
      <c r="C187" s="8">
        <v>3</v>
      </c>
      <c r="D187" s="8">
        <v>60</v>
      </c>
      <c r="E187" s="9" t="s">
        <v>20</v>
      </c>
      <c r="F187" s="10" t="s">
        <v>23</v>
      </c>
      <c r="G187" s="10"/>
      <c r="H187" s="8">
        <v>13.5053418</v>
      </c>
      <c r="I187" s="25">
        <v>9.181240699889831E-2</v>
      </c>
      <c r="J187" s="11"/>
      <c r="K187" s="12"/>
      <c r="L187" s="8">
        <v>2447482.379999999</v>
      </c>
      <c r="M187" s="36">
        <v>3.2629024234751051E-3</v>
      </c>
      <c r="N187" s="8"/>
      <c r="O187" s="17"/>
      <c r="P187" s="8"/>
      <c r="Q187" s="16"/>
    </row>
    <row r="188" spans="3:17" ht="11.25" customHeight="1" x14ac:dyDescent="0.2">
      <c r="C188" s="8">
        <v>3</v>
      </c>
      <c r="D188" s="8">
        <v>60</v>
      </c>
      <c r="E188" s="9" t="s">
        <v>21</v>
      </c>
      <c r="F188" s="10" t="s">
        <v>23</v>
      </c>
      <c r="G188" s="10"/>
      <c r="H188" s="8">
        <v>13.585706760000001</v>
      </c>
      <c r="I188" s="25">
        <v>8.6812406998898306E-2</v>
      </c>
      <c r="J188" s="11"/>
      <c r="K188" s="12"/>
      <c r="L188" s="8">
        <v>1262521.82</v>
      </c>
      <c r="M188" s="36">
        <v>1.683152262844156E-3</v>
      </c>
      <c r="N188" s="8"/>
      <c r="O188" s="17"/>
      <c r="P188" s="8"/>
      <c r="Q188" s="16"/>
    </row>
    <row r="189" spans="3:17" ht="11.25" customHeight="1" x14ac:dyDescent="0.2">
      <c r="C189" s="8">
        <v>3</v>
      </c>
      <c r="D189" s="8">
        <v>72</v>
      </c>
      <c r="E189" s="9" t="s">
        <v>14</v>
      </c>
      <c r="F189" s="10" t="s">
        <v>22</v>
      </c>
      <c r="G189" s="10"/>
      <c r="H189" s="8">
        <v>13.527804809999999</v>
      </c>
      <c r="I189" s="25">
        <v>0.13286890892826084</v>
      </c>
      <c r="J189" s="11"/>
      <c r="K189" s="12"/>
      <c r="L189" s="8">
        <v>375577.99</v>
      </c>
      <c r="M189" s="36">
        <v>5.0070813330019119E-4</v>
      </c>
      <c r="N189" s="8"/>
      <c r="O189" s="17"/>
      <c r="P189" s="8"/>
      <c r="Q189" s="16"/>
    </row>
    <row r="190" spans="3:17" ht="11.25" customHeight="1" x14ac:dyDescent="0.2">
      <c r="C190" s="8">
        <v>3</v>
      </c>
      <c r="D190" s="8">
        <v>72</v>
      </c>
      <c r="E190" s="9" t="s">
        <v>16</v>
      </c>
      <c r="F190" s="10" t="s">
        <v>22</v>
      </c>
      <c r="G190" s="10"/>
      <c r="H190" s="8">
        <v>13.515615370000001</v>
      </c>
      <c r="I190" s="25">
        <v>0.12786890892826083</v>
      </c>
      <c r="J190" s="11"/>
      <c r="K190" s="12"/>
      <c r="L190" s="8">
        <v>391246.76000000013</v>
      </c>
      <c r="M190" s="36">
        <v>5.2159721835496253E-4</v>
      </c>
      <c r="N190" s="8"/>
      <c r="O190" s="17"/>
      <c r="P190" s="8"/>
      <c r="Q190" s="16"/>
    </row>
    <row r="191" spans="3:17" ht="11.25" customHeight="1" x14ac:dyDescent="0.2">
      <c r="C191" s="8">
        <v>3</v>
      </c>
      <c r="D191" s="8">
        <v>72</v>
      </c>
      <c r="E191" s="9" t="s">
        <v>17</v>
      </c>
      <c r="F191" s="10" t="s">
        <v>22</v>
      </c>
      <c r="G191" s="10"/>
      <c r="H191" s="8">
        <v>12.13585651</v>
      </c>
      <c r="I191" s="25">
        <v>0.12286890892826083</v>
      </c>
      <c r="J191" s="11"/>
      <c r="K191" s="12"/>
      <c r="L191" s="8">
        <v>730825.62</v>
      </c>
      <c r="M191" s="36">
        <v>9.7431250419694414E-4</v>
      </c>
      <c r="N191" s="8"/>
      <c r="O191" s="17"/>
      <c r="P191" s="8"/>
      <c r="Q191" s="16"/>
    </row>
    <row r="192" spans="3:17" ht="11.25" customHeight="1" x14ac:dyDescent="0.2">
      <c r="C192" s="8">
        <v>3</v>
      </c>
      <c r="D192" s="8">
        <v>72</v>
      </c>
      <c r="E192" s="9" t="s">
        <v>18</v>
      </c>
      <c r="F192" s="10" t="s">
        <v>22</v>
      </c>
      <c r="G192" s="10"/>
      <c r="H192" s="8">
        <v>12.71466738</v>
      </c>
      <c r="I192" s="25">
        <v>0.11786890892826082</v>
      </c>
      <c r="J192" s="11"/>
      <c r="K192" s="12"/>
      <c r="L192" s="8">
        <v>323305.82</v>
      </c>
      <c r="M192" s="36">
        <v>4.3102060804278659E-4</v>
      </c>
      <c r="N192" s="8"/>
      <c r="O192" s="17"/>
      <c r="P192" s="8"/>
      <c r="Q192" s="16"/>
    </row>
    <row r="193" spans="3:17" ht="11.25" customHeight="1" x14ac:dyDescent="0.2">
      <c r="C193" s="8">
        <v>3</v>
      </c>
      <c r="D193" s="8">
        <v>72</v>
      </c>
      <c r="E193" s="9" t="s">
        <v>19</v>
      </c>
      <c r="F193" s="10" t="s">
        <v>22</v>
      </c>
      <c r="G193" s="10"/>
      <c r="H193" s="8">
        <v>10.475720369999999</v>
      </c>
      <c r="I193" s="25">
        <v>0.11286890892826083</v>
      </c>
      <c r="J193" s="11"/>
      <c r="K193" s="12"/>
      <c r="L193" s="8">
        <v>343423.93000000011</v>
      </c>
      <c r="M193" s="36">
        <v>4.5784140577810628E-4</v>
      </c>
      <c r="N193" s="8"/>
      <c r="O193" s="17"/>
      <c r="P193" s="8"/>
      <c r="Q193" s="16"/>
    </row>
    <row r="194" spans="3:17" ht="11.25" customHeight="1" x14ac:dyDescent="0.2">
      <c r="C194" s="8">
        <v>3</v>
      </c>
      <c r="D194" s="8">
        <v>72</v>
      </c>
      <c r="E194" s="9" t="s">
        <v>20</v>
      </c>
      <c r="F194" s="10" t="s">
        <v>22</v>
      </c>
      <c r="G194" s="10"/>
      <c r="H194" s="8">
        <v>11.41817208</v>
      </c>
      <c r="I194" s="25">
        <v>0.10786890892826083</v>
      </c>
      <c r="J194" s="11"/>
      <c r="K194" s="12"/>
      <c r="L194" s="8">
        <v>230550.47</v>
      </c>
      <c r="M194" s="36">
        <v>3.0736224842457279E-4</v>
      </c>
      <c r="N194" s="8"/>
      <c r="O194" s="17"/>
      <c r="P194" s="8"/>
      <c r="Q194" s="16"/>
    </row>
    <row r="195" spans="3:17" ht="11.25" customHeight="1" x14ac:dyDescent="0.2">
      <c r="C195" s="8">
        <v>3</v>
      </c>
      <c r="D195" s="8">
        <v>72</v>
      </c>
      <c r="E195" s="9" t="s">
        <v>21</v>
      </c>
      <c r="F195" s="10" t="s">
        <v>22</v>
      </c>
      <c r="G195" s="10"/>
      <c r="H195" s="8">
        <v>11.34247798</v>
      </c>
      <c r="I195" s="25">
        <v>0.10286890892826082</v>
      </c>
      <c r="J195" s="11"/>
      <c r="K195" s="12"/>
      <c r="L195" s="8">
        <v>185365.38</v>
      </c>
      <c r="M195" s="36">
        <v>2.4712298342690578E-4</v>
      </c>
      <c r="N195" s="8"/>
      <c r="O195" s="17"/>
      <c r="P195" s="8"/>
      <c r="Q195" s="16"/>
    </row>
    <row r="196" spans="3:17" ht="11.25" customHeight="1" x14ac:dyDescent="0.2">
      <c r="C196" s="8">
        <v>3</v>
      </c>
      <c r="D196" s="8">
        <v>72</v>
      </c>
      <c r="E196" s="9" t="s">
        <v>14</v>
      </c>
      <c r="F196" s="10" t="s">
        <v>23</v>
      </c>
      <c r="G196" s="10"/>
      <c r="H196" s="8">
        <v>16.429017389999998</v>
      </c>
      <c r="I196" s="25">
        <v>0.12286890892826083</v>
      </c>
      <c r="J196" s="11"/>
      <c r="K196" s="12"/>
      <c r="L196" s="8">
        <v>688234.79</v>
      </c>
      <c r="M196" s="36">
        <v>9.1753182068296676E-4</v>
      </c>
      <c r="N196" s="8"/>
      <c r="O196" s="17"/>
      <c r="P196" s="8"/>
      <c r="Q196" s="16"/>
    </row>
    <row r="197" spans="3:17" ht="11.25" customHeight="1" x14ac:dyDescent="0.2">
      <c r="C197" s="8">
        <v>3</v>
      </c>
      <c r="D197" s="8">
        <v>72</v>
      </c>
      <c r="E197" s="9" t="s">
        <v>16</v>
      </c>
      <c r="F197" s="10" t="s">
        <v>23</v>
      </c>
      <c r="G197" s="10"/>
      <c r="H197" s="8">
        <v>16.755498639999999</v>
      </c>
      <c r="I197" s="25">
        <v>0.11786890892826082</v>
      </c>
      <c r="J197" s="11"/>
      <c r="K197" s="12"/>
      <c r="L197" s="8">
        <v>755313.83</v>
      </c>
      <c r="M197" s="36">
        <v>1.006959374470048E-3</v>
      </c>
      <c r="N197" s="8"/>
      <c r="O197" s="17"/>
      <c r="P197" s="8"/>
      <c r="Q197" s="16"/>
    </row>
    <row r="198" spans="3:17" ht="11.25" customHeight="1" x14ac:dyDescent="0.2">
      <c r="C198" s="8">
        <v>3</v>
      </c>
      <c r="D198" s="8">
        <v>72</v>
      </c>
      <c r="E198" s="9" t="s">
        <v>17</v>
      </c>
      <c r="F198" s="10" t="s">
        <v>23</v>
      </c>
      <c r="G198" s="10"/>
      <c r="H198" s="8">
        <v>16.751380829999999</v>
      </c>
      <c r="I198" s="25">
        <v>0.11286890892826083</v>
      </c>
      <c r="J198" s="11"/>
      <c r="K198" s="12"/>
      <c r="L198" s="8">
        <v>1014170.65</v>
      </c>
      <c r="M198" s="36">
        <v>1.352058710920045E-3</v>
      </c>
      <c r="N198" s="8"/>
      <c r="O198" s="17"/>
      <c r="P198" s="8"/>
      <c r="Q198" s="16"/>
    </row>
    <row r="199" spans="3:17" ht="11.25" customHeight="1" x14ac:dyDescent="0.2">
      <c r="C199" s="8">
        <v>3</v>
      </c>
      <c r="D199" s="8">
        <v>72</v>
      </c>
      <c r="E199" s="9" t="s">
        <v>18</v>
      </c>
      <c r="F199" s="10" t="s">
        <v>23</v>
      </c>
      <c r="G199" s="10"/>
      <c r="H199" s="8">
        <v>16.005621619999999</v>
      </c>
      <c r="I199" s="25">
        <v>0.10786890892826083</v>
      </c>
      <c r="J199" s="11"/>
      <c r="K199" s="12"/>
      <c r="L199" s="8">
        <v>359211.35</v>
      </c>
      <c r="M199" s="36">
        <v>4.7888867108198118E-4</v>
      </c>
      <c r="N199" s="8"/>
      <c r="O199" s="17"/>
      <c r="P199" s="8"/>
      <c r="Q199" s="16"/>
    </row>
    <row r="200" spans="3:17" ht="11.25" customHeight="1" x14ac:dyDescent="0.2">
      <c r="C200" s="8">
        <v>3</v>
      </c>
      <c r="D200" s="8">
        <v>72</v>
      </c>
      <c r="E200" s="9" t="s">
        <v>19</v>
      </c>
      <c r="F200" s="10" t="s">
        <v>23</v>
      </c>
      <c r="G200" s="10"/>
      <c r="H200" s="8">
        <v>15.47205677</v>
      </c>
      <c r="I200" s="25">
        <v>0.10286890892826082</v>
      </c>
      <c r="J200" s="11"/>
      <c r="K200" s="12"/>
      <c r="L200" s="8">
        <v>332328.53999999998</v>
      </c>
      <c r="M200" s="36">
        <v>4.4304939942241538E-4</v>
      </c>
      <c r="N200" s="8"/>
      <c r="O200" s="17"/>
      <c r="P200" s="8"/>
      <c r="Q200" s="16"/>
    </row>
    <row r="201" spans="3:17" ht="11.25" customHeight="1" x14ac:dyDescent="0.2">
      <c r="C201" s="8">
        <v>3</v>
      </c>
      <c r="D201" s="8">
        <v>72</v>
      </c>
      <c r="E201" s="9" t="s">
        <v>20</v>
      </c>
      <c r="F201" s="10" t="s">
        <v>23</v>
      </c>
      <c r="G201" s="10"/>
      <c r="H201" s="8">
        <v>15.23018019</v>
      </c>
      <c r="I201" s="25">
        <v>9.7868908928260834E-2</v>
      </c>
      <c r="J201" s="11"/>
      <c r="K201" s="12"/>
      <c r="L201" s="8">
        <v>223883.55</v>
      </c>
      <c r="M201" s="36">
        <v>2.9847413155685722E-4</v>
      </c>
      <c r="N201" s="8"/>
      <c r="O201" s="17"/>
      <c r="P201" s="8"/>
      <c r="Q201" s="16"/>
    </row>
    <row r="202" spans="3:17" ht="11.25" customHeight="1" x14ac:dyDescent="0.2">
      <c r="C202" s="8">
        <v>3</v>
      </c>
      <c r="D202" s="8">
        <v>72</v>
      </c>
      <c r="E202" s="9" t="s">
        <v>21</v>
      </c>
      <c r="F202" s="10" t="s">
        <v>23</v>
      </c>
      <c r="G202" s="10"/>
      <c r="H202" s="8">
        <v>13.810440509999999</v>
      </c>
      <c r="I202" s="25">
        <v>9.2868908928260829E-2</v>
      </c>
      <c r="J202" s="11"/>
      <c r="K202" s="12"/>
      <c r="L202" s="8">
        <v>397298.17</v>
      </c>
      <c r="M202" s="36">
        <v>5.2966475768263734E-4</v>
      </c>
      <c r="N202" s="8"/>
      <c r="O202" s="17"/>
      <c r="P202" s="8"/>
      <c r="Q202" s="16"/>
    </row>
    <row r="203" spans="3:17" ht="11.25" customHeight="1" x14ac:dyDescent="0.2">
      <c r="C203" s="8">
        <v>3</v>
      </c>
      <c r="D203" s="8">
        <v>84</v>
      </c>
      <c r="E203" s="9" t="s">
        <v>14</v>
      </c>
      <c r="F203" s="10" t="s">
        <v>22</v>
      </c>
      <c r="G203" s="10"/>
      <c r="H203" s="8">
        <v>15.22891576</v>
      </c>
      <c r="I203" s="25">
        <v>0.17771576714557782</v>
      </c>
      <c r="J203" s="11"/>
      <c r="K203" s="12"/>
      <c r="L203" s="8">
        <v>1616774.5</v>
      </c>
      <c r="M203" s="36">
        <v>2.1554301993637862E-3</v>
      </c>
      <c r="N203" s="8"/>
      <c r="O203" s="17"/>
      <c r="P203" s="8"/>
      <c r="Q203" s="16"/>
    </row>
    <row r="204" spans="3:17" ht="11.25" customHeight="1" x14ac:dyDescent="0.2">
      <c r="C204" s="8">
        <v>3</v>
      </c>
      <c r="D204" s="8">
        <v>84</v>
      </c>
      <c r="E204" s="9" t="s">
        <v>16</v>
      </c>
      <c r="F204" s="10" t="s">
        <v>22</v>
      </c>
      <c r="G204" s="10"/>
      <c r="H204" s="8">
        <v>14.695510479999999</v>
      </c>
      <c r="I204" s="25">
        <v>0.17271576714557782</v>
      </c>
      <c r="J204" s="11"/>
      <c r="K204" s="12"/>
      <c r="L204" s="8">
        <v>1164183.68</v>
      </c>
      <c r="M204" s="36">
        <v>1.5520511125568009E-3</v>
      </c>
      <c r="N204" s="8"/>
      <c r="O204" s="17"/>
      <c r="P204" s="8"/>
      <c r="Q204" s="16"/>
    </row>
    <row r="205" spans="3:17" ht="11.25" customHeight="1" x14ac:dyDescent="0.2">
      <c r="C205" s="8">
        <v>3</v>
      </c>
      <c r="D205" s="8">
        <v>84</v>
      </c>
      <c r="E205" s="9" t="s">
        <v>17</v>
      </c>
      <c r="F205" s="10" t="s">
        <v>22</v>
      </c>
      <c r="G205" s="10"/>
      <c r="H205" s="8">
        <v>13.77183185</v>
      </c>
      <c r="I205" s="25">
        <v>0.16771576714557782</v>
      </c>
      <c r="J205" s="11"/>
      <c r="K205" s="12"/>
      <c r="L205" s="8">
        <v>1927557.83</v>
      </c>
      <c r="M205" s="36">
        <v>2.5697562386109668E-3</v>
      </c>
      <c r="N205" s="8"/>
      <c r="O205" s="17"/>
      <c r="P205" s="8"/>
      <c r="Q205" s="16"/>
    </row>
    <row r="206" spans="3:17" ht="11.25" customHeight="1" x14ac:dyDescent="0.2">
      <c r="C206" s="8">
        <v>3</v>
      </c>
      <c r="D206" s="8">
        <v>84</v>
      </c>
      <c r="E206" s="9" t="s">
        <v>18</v>
      </c>
      <c r="F206" s="10" t="s">
        <v>22</v>
      </c>
      <c r="G206" s="10"/>
      <c r="H206" s="8">
        <v>12.910371720000001</v>
      </c>
      <c r="I206" s="25">
        <v>0.16271576714557781</v>
      </c>
      <c r="J206" s="11"/>
      <c r="K206" s="12"/>
      <c r="L206" s="8">
        <v>1193652.06</v>
      </c>
      <c r="M206" s="36">
        <v>1.591337380479958E-3</v>
      </c>
      <c r="N206" s="8"/>
      <c r="O206" s="17"/>
      <c r="P206" s="8"/>
      <c r="Q206" s="16"/>
    </row>
    <row r="207" spans="3:17" ht="11.25" customHeight="1" x14ac:dyDescent="0.2">
      <c r="C207" s="8">
        <v>3</v>
      </c>
      <c r="D207" s="8">
        <v>84</v>
      </c>
      <c r="E207" s="9" t="s">
        <v>19</v>
      </c>
      <c r="F207" s="10" t="s">
        <v>22</v>
      </c>
      <c r="G207" s="10"/>
      <c r="H207" s="8">
        <v>12.45446877</v>
      </c>
      <c r="I207" s="25">
        <v>0.15771576714557781</v>
      </c>
      <c r="J207" s="11"/>
      <c r="K207" s="12"/>
      <c r="L207" s="8">
        <v>1028021.2</v>
      </c>
      <c r="M207" s="36">
        <v>1.3705238053087791E-3</v>
      </c>
      <c r="N207" s="8"/>
      <c r="O207" s="17"/>
      <c r="P207" s="8"/>
      <c r="Q207" s="16"/>
    </row>
    <row r="208" spans="3:17" ht="11.25" customHeight="1" x14ac:dyDescent="0.2">
      <c r="C208" s="8">
        <v>3</v>
      </c>
      <c r="D208" s="8">
        <v>84</v>
      </c>
      <c r="E208" s="9" t="s">
        <v>20</v>
      </c>
      <c r="F208" s="10" t="s">
        <v>22</v>
      </c>
      <c r="G208" s="10"/>
      <c r="H208" s="8">
        <v>12.786805360000001</v>
      </c>
      <c r="I208" s="25">
        <v>0.1527157671455778</v>
      </c>
      <c r="J208" s="11"/>
      <c r="K208" s="12"/>
      <c r="L208" s="8">
        <v>656101.61</v>
      </c>
      <c r="M208" s="36">
        <v>8.7469292968512353E-4</v>
      </c>
      <c r="N208" s="8"/>
      <c r="O208" s="17"/>
      <c r="P208" s="8"/>
      <c r="Q208" s="16"/>
    </row>
    <row r="209" spans="3:17" ht="11.25" customHeight="1" x14ac:dyDescent="0.2">
      <c r="C209" s="8">
        <v>3</v>
      </c>
      <c r="D209" s="8">
        <v>84</v>
      </c>
      <c r="E209" s="9" t="s">
        <v>21</v>
      </c>
      <c r="F209" s="10" t="s">
        <v>22</v>
      </c>
      <c r="G209" s="10"/>
      <c r="H209" s="8">
        <v>12.468925779999999</v>
      </c>
      <c r="I209" s="25">
        <v>0.1477157671455778</v>
      </c>
      <c r="J209" s="11"/>
      <c r="K209" s="12"/>
      <c r="L209" s="8">
        <v>174987.42</v>
      </c>
      <c r="M209" s="36">
        <v>2.3328743097862721E-4</v>
      </c>
      <c r="N209" s="8"/>
      <c r="O209" s="17"/>
      <c r="P209" s="8"/>
      <c r="Q209" s="16"/>
    </row>
    <row r="210" spans="3:17" ht="11.25" customHeight="1" x14ac:dyDescent="0.2">
      <c r="C210" s="8">
        <v>3</v>
      </c>
      <c r="D210" s="8">
        <v>84</v>
      </c>
      <c r="E210" s="9" t="s">
        <v>14</v>
      </c>
      <c r="F210" s="10" t="s">
        <v>24</v>
      </c>
      <c r="G210" s="10"/>
      <c r="H210" s="8">
        <v>20.36</v>
      </c>
      <c r="I210" s="25">
        <v>0.17771576714557782</v>
      </c>
      <c r="J210" s="11"/>
      <c r="K210" s="12"/>
      <c r="L210" s="8">
        <v>48378.74</v>
      </c>
      <c r="M210" s="36">
        <v>6.4496933371455795E-5</v>
      </c>
      <c r="N210" s="8"/>
      <c r="O210" s="17"/>
      <c r="P210" s="8"/>
      <c r="Q210" s="16"/>
    </row>
    <row r="211" spans="3:17" ht="11.25" customHeight="1" x14ac:dyDescent="0.2">
      <c r="C211" s="8">
        <v>3</v>
      </c>
      <c r="D211" s="8">
        <v>84</v>
      </c>
      <c r="E211" s="9" t="s">
        <v>14</v>
      </c>
      <c r="F211" s="10" t="s">
        <v>23</v>
      </c>
      <c r="G211" s="10"/>
      <c r="H211" s="8">
        <v>18.59318876</v>
      </c>
      <c r="I211" s="25">
        <v>0.16771576714557782</v>
      </c>
      <c r="J211" s="11"/>
      <c r="K211" s="12"/>
      <c r="L211" s="8">
        <v>2302967.1800000002</v>
      </c>
      <c r="M211" s="36">
        <v>3.0702395466502318E-3</v>
      </c>
      <c r="N211" s="8"/>
      <c r="O211" s="17"/>
      <c r="P211" s="8"/>
      <c r="Q211" s="16"/>
    </row>
    <row r="212" spans="3:17" ht="11.25" customHeight="1" x14ac:dyDescent="0.2">
      <c r="C212" s="8">
        <v>3</v>
      </c>
      <c r="D212" s="8">
        <v>84</v>
      </c>
      <c r="E212" s="9" t="s">
        <v>16</v>
      </c>
      <c r="F212" s="10" t="s">
        <v>23</v>
      </c>
      <c r="G212" s="10"/>
      <c r="H212" s="8">
        <v>18.534112010000001</v>
      </c>
      <c r="I212" s="25">
        <v>0.16271576714557781</v>
      </c>
      <c r="J212" s="11"/>
      <c r="K212" s="12"/>
      <c r="L212" s="8">
        <v>3218623.75</v>
      </c>
      <c r="M212" s="36">
        <v>4.2909625499038453E-3</v>
      </c>
      <c r="N212" s="8"/>
      <c r="O212" s="17"/>
      <c r="P212" s="8"/>
      <c r="Q212" s="16"/>
    </row>
    <row r="213" spans="3:17" ht="11.25" customHeight="1" x14ac:dyDescent="0.2">
      <c r="C213" s="8">
        <v>3</v>
      </c>
      <c r="D213" s="8">
        <v>84</v>
      </c>
      <c r="E213" s="9" t="s">
        <v>17</v>
      </c>
      <c r="F213" s="10" t="s">
        <v>23</v>
      </c>
      <c r="G213" s="10"/>
      <c r="H213" s="8">
        <v>18.037635810000001</v>
      </c>
      <c r="I213" s="25">
        <v>0.15771576714557781</v>
      </c>
      <c r="J213" s="11"/>
      <c r="K213" s="12"/>
      <c r="L213" s="8">
        <v>3013622.3</v>
      </c>
      <c r="M213" s="36">
        <v>4.0176614084995463E-3</v>
      </c>
      <c r="N213" s="8"/>
      <c r="O213" s="17"/>
      <c r="P213" s="8"/>
      <c r="Q213" s="16"/>
    </row>
    <row r="214" spans="3:17" ht="11.25" customHeight="1" x14ac:dyDescent="0.2">
      <c r="C214" s="8">
        <v>3</v>
      </c>
      <c r="D214" s="8">
        <v>84</v>
      </c>
      <c r="E214" s="9" t="s">
        <v>18</v>
      </c>
      <c r="F214" s="10" t="s">
        <v>23</v>
      </c>
      <c r="G214" s="10"/>
      <c r="H214" s="8">
        <v>18.011554799999999</v>
      </c>
      <c r="I214" s="25">
        <v>0.1527157671455778</v>
      </c>
      <c r="J214" s="11"/>
      <c r="K214" s="12"/>
      <c r="L214" s="8">
        <v>2186735.9500000002</v>
      </c>
      <c r="M214" s="36">
        <v>2.9152839215762349E-3</v>
      </c>
      <c r="N214" s="8"/>
      <c r="O214" s="17"/>
      <c r="P214" s="8"/>
      <c r="Q214" s="16"/>
    </row>
    <row r="215" spans="3:17" ht="11.25" customHeight="1" x14ac:dyDescent="0.2">
      <c r="C215" s="8">
        <v>3</v>
      </c>
      <c r="D215" s="8">
        <v>84</v>
      </c>
      <c r="E215" s="9" t="s">
        <v>19</v>
      </c>
      <c r="F215" s="10" t="s">
        <v>23</v>
      </c>
      <c r="G215" s="10"/>
      <c r="H215" s="8">
        <v>17.335137679999999</v>
      </c>
      <c r="I215" s="25">
        <v>0.1477157671455778</v>
      </c>
      <c r="J215" s="11"/>
      <c r="K215" s="12"/>
      <c r="L215" s="8">
        <v>1570302.81</v>
      </c>
      <c r="M215" s="36">
        <v>2.0934756818714131E-3</v>
      </c>
      <c r="N215" s="8"/>
      <c r="O215" s="17"/>
      <c r="P215" s="8"/>
      <c r="Q215" s="16"/>
    </row>
    <row r="216" spans="3:17" ht="11.25" customHeight="1" x14ac:dyDescent="0.2">
      <c r="C216" s="8">
        <v>3</v>
      </c>
      <c r="D216" s="8">
        <v>84</v>
      </c>
      <c r="E216" s="9" t="s">
        <v>20</v>
      </c>
      <c r="F216" s="10" t="s">
        <v>23</v>
      </c>
      <c r="G216" s="10"/>
      <c r="H216" s="8">
        <v>17.5453878</v>
      </c>
      <c r="I216" s="25">
        <v>0.14271576714557779</v>
      </c>
      <c r="J216" s="11"/>
      <c r="K216" s="12"/>
      <c r="L216" s="8">
        <v>1029607.23</v>
      </c>
      <c r="M216" s="36">
        <v>1.3726382479593139E-3</v>
      </c>
      <c r="N216" s="8"/>
      <c r="O216" s="17"/>
      <c r="P216" s="8"/>
      <c r="Q216" s="16"/>
    </row>
    <row r="217" spans="3:17" ht="11.25" customHeight="1" x14ac:dyDescent="0.2">
      <c r="C217" s="8">
        <v>3</v>
      </c>
      <c r="D217" s="8">
        <v>84</v>
      </c>
      <c r="E217" s="9" t="s">
        <v>21</v>
      </c>
      <c r="F217" s="10" t="s">
        <v>23</v>
      </c>
      <c r="G217" s="10"/>
      <c r="H217" s="8">
        <v>17.020614309999999</v>
      </c>
      <c r="I217" s="25">
        <v>0.13771576714557779</v>
      </c>
      <c r="J217" s="11"/>
      <c r="K217" s="12"/>
      <c r="L217" s="8">
        <v>886364.22999999986</v>
      </c>
      <c r="M217" s="36">
        <v>1.18167142602622E-3</v>
      </c>
      <c r="N217" s="8"/>
      <c r="O217" s="17"/>
      <c r="P217" s="8"/>
      <c r="Q217" s="16"/>
    </row>
    <row r="218" spans="3:17" ht="11.25" customHeight="1" x14ac:dyDescent="0.2">
      <c r="C218" s="8">
        <v>4</v>
      </c>
      <c r="D218" s="8">
        <v>24</v>
      </c>
      <c r="E218" s="9" t="s">
        <v>14</v>
      </c>
      <c r="F218" s="10" t="s">
        <v>22</v>
      </c>
      <c r="G218" s="10"/>
      <c r="H218" s="8">
        <v>10.4088051</v>
      </c>
      <c r="I218" s="30">
        <v>5.5212520868281059E-2</v>
      </c>
      <c r="J218" s="11"/>
      <c r="K218" s="12"/>
      <c r="L218" s="8">
        <v>864468.87</v>
      </c>
      <c r="M218" s="36">
        <v>1.1524812574715191E-3</v>
      </c>
      <c r="N218" s="8"/>
      <c r="O218" s="17"/>
      <c r="P218" s="8"/>
      <c r="Q218" s="16"/>
    </row>
    <row r="219" spans="3:17" ht="11.25" customHeight="1" x14ac:dyDescent="0.2">
      <c r="C219" s="8">
        <v>4</v>
      </c>
      <c r="D219" s="8">
        <v>24</v>
      </c>
      <c r="E219" s="9" t="s">
        <v>16</v>
      </c>
      <c r="F219" s="10" t="s">
        <v>22</v>
      </c>
      <c r="G219" s="10"/>
      <c r="H219" s="8">
        <v>10.536877670000001</v>
      </c>
      <c r="I219" s="30">
        <v>5.0212520868281062E-2</v>
      </c>
      <c r="J219" s="11"/>
      <c r="K219" s="12"/>
      <c r="L219" s="8">
        <v>1189014.01</v>
      </c>
      <c r="M219" s="36">
        <v>1.585154085879407E-3</v>
      </c>
      <c r="N219" s="8"/>
      <c r="O219" s="17"/>
      <c r="P219" s="8"/>
      <c r="Q219" s="16"/>
    </row>
    <row r="220" spans="3:17" ht="11.25" customHeight="1" x14ac:dyDescent="0.2">
      <c r="C220" s="8">
        <v>4</v>
      </c>
      <c r="D220" s="8">
        <v>24</v>
      </c>
      <c r="E220" s="9" t="s">
        <v>17</v>
      </c>
      <c r="F220" s="10" t="s">
        <v>22</v>
      </c>
      <c r="G220" s="10"/>
      <c r="H220" s="8">
        <v>9.755387206</v>
      </c>
      <c r="I220" s="25">
        <v>4.5212520868281064E-2</v>
      </c>
      <c r="J220" s="11"/>
      <c r="K220" s="12"/>
      <c r="L220" s="8">
        <v>569998.10000000009</v>
      </c>
      <c r="M220" s="36">
        <v>7.5990258277822869E-4</v>
      </c>
      <c r="N220" s="8"/>
      <c r="O220" s="17"/>
      <c r="P220" s="8"/>
      <c r="Q220" s="16"/>
    </row>
    <row r="221" spans="3:17" ht="11.25" customHeight="1" x14ac:dyDescent="0.2">
      <c r="C221" s="8">
        <v>4</v>
      </c>
      <c r="D221" s="8">
        <v>24</v>
      </c>
      <c r="E221" s="9" t="s">
        <v>18</v>
      </c>
      <c r="F221" s="10" t="s">
        <v>22</v>
      </c>
      <c r="G221" s="10"/>
      <c r="H221" s="8">
        <v>8.9019973869999998</v>
      </c>
      <c r="I221" s="25">
        <v>4.021252086828106E-2</v>
      </c>
      <c r="J221" s="11"/>
      <c r="K221" s="12"/>
      <c r="L221" s="8">
        <v>599837.55000000005</v>
      </c>
      <c r="M221" s="36">
        <v>7.9968354893176813E-4</v>
      </c>
      <c r="N221" s="8"/>
      <c r="O221" s="17"/>
      <c r="P221" s="8"/>
      <c r="Q221" s="16"/>
    </row>
    <row r="222" spans="3:17" ht="11.25" customHeight="1" x14ac:dyDescent="0.2">
      <c r="C222" s="8">
        <v>4</v>
      </c>
      <c r="D222" s="8">
        <v>24</v>
      </c>
      <c r="E222" s="9" t="s">
        <v>19</v>
      </c>
      <c r="F222" s="10" t="s">
        <v>22</v>
      </c>
      <c r="G222" s="10"/>
      <c r="H222" s="8">
        <v>7.5969508220000002</v>
      </c>
      <c r="I222" s="25">
        <v>3.5212520868281055E-2</v>
      </c>
      <c r="J222" s="11"/>
      <c r="K222" s="12"/>
      <c r="L222" s="8">
        <v>275012.09000000003</v>
      </c>
      <c r="M222" s="36">
        <v>3.6663700718693389E-4</v>
      </c>
      <c r="N222" s="8"/>
      <c r="O222" s="17"/>
      <c r="P222" s="8"/>
      <c r="Q222" s="16"/>
    </row>
    <row r="223" spans="3:17" ht="11.25" customHeight="1" x14ac:dyDescent="0.2">
      <c r="C223" s="8">
        <v>4</v>
      </c>
      <c r="D223" s="8">
        <v>24</v>
      </c>
      <c r="E223" s="9" t="s">
        <v>20</v>
      </c>
      <c r="F223" s="10" t="s">
        <v>22</v>
      </c>
      <c r="G223" s="10"/>
      <c r="H223" s="8">
        <v>8.2535023069999998</v>
      </c>
      <c r="I223" s="25">
        <v>3.0212520868281058E-2</v>
      </c>
      <c r="J223" s="11"/>
      <c r="K223" s="12"/>
      <c r="L223" s="8">
        <v>242782.53</v>
      </c>
      <c r="M223" s="36">
        <v>3.2366962556617781E-4</v>
      </c>
      <c r="N223" s="8"/>
      <c r="O223" s="17"/>
      <c r="P223" s="8"/>
      <c r="Q223" s="16"/>
    </row>
    <row r="224" spans="3:17" ht="11.25" customHeight="1" x14ac:dyDescent="0.2">
      <c r="C224" s="8">
        <v>4</v>
      </c>
      <c r="D224" s="8">
        <v>24</v>
      </c>
      <c r="E224" s="9" t="s">
        <v>21</v>
      </c>
      <c r="F224" s="10" t="s">
        <v>22</v>
      </c>
      <c r="G224" s="10"/>
      <c r="H224" s="8">
        <v>8.2453627390000008</v>
      </c>
      <c r="I224" s="25">
        <v>2.5212520868281057E-2</v>
      </c>
      <c r="J224" s="11"/>
      <c r="K224" s="12"/>
      <c r="L224" s="8">
        <v>106672.06</v>
      </c>
      <c r="M224" s="36">
        <v>1.4221165632705469E-4</v>
      </c>
      <c r="N224" s="8"/>
      <c r="O224" s="17"/>
      <c r="P224" s="8"/>
      <c r="Q224" s="16"/>
    </row>
    <row r="225" spans="3:17" ht="11.25" customHeight="1" x14ac:dyDescent="0.2">
      <c r="C225" s="8">
        <v>4</v>
      </c>
      <c r="D225" s="8">
        <v>24</v>
      </c>
      <c r="E225" s="9" t="s">
        <v>16</v>
      </c>
      <c r="F225" s="10" t="s">
        <v>24</v>
      </c>
      <c r="G225" s="10"/>
      <c r="H225" s="8">
        <v>11.08</v>
      </c>
      <c r="I225" s="25">
        <v>5.0212520868281062E-2</v>
      </c>
      <c r="J225" s="11"/>
      <c r="K225" s="12"/>
      <c r="L225" s="8">
        <v>25588.63</v>
      </c>
      <c r="M225" s="36">
        <v>3.4113913759987031E-5</v>
      </c>
      <c r="N225" s="8"/>
      <c r="O225" s="17"/>
      <c r="P225" s="8"/>
      <c r="Q225" s="16"/>
    </row>
    <row r="226" spans="3:17" ht="11.25" customHeight="1" x14ac:dyDescent="0.2">
      <c r="C226" s="8">
        <v>4</v>
      </c>
      <c r="D226" s="8">
        <v>24</v>
      </c>
      <c r="E226" s="9" t="s">
        <v>14</v>
      </c>
      <c r="F226" s="10" t="s">
        <v>23</v>
      </c>
      <c r="G226" s="10"/>
      <c r="H226" s="8">
        <v>12.1378963</v>
      </c>
      <c r="I226" s="25">
        <v>4.5212520868281064E-2</v>
      </c>
      <c r="J226" s="11"/>
      <c r="K226" s="12"/>
      <c r="L226" s="8">
        <v>1194354.73</v>
      </c>
      <c r="M226" s="36">
        <v>1.592274156844372E-3</v>
      </c>
      <c r="N226" s="8"/>
      <c r="O226" s="17"/>
      <c r="P226" s="8"/>
      <c r="Q226" s="16"/>
    </row>
    <row r="227" spans="3:17" ht="11.25" customHeight="1" x14ac:dyDescent="0.2">
      <c r="C227" s="8">
        <v>4</v>
      </c>
      <c r="D227" s="8">
        <v>24</v>
      </c>
      <c r="E227" s="9" t="s">
        <v>16</v>
      </c>
      <c r="F227" s="10" t="s">
        <v>23</v>
      </c>
      <c r="G227" s="10"/>
      <c r="H227" s="8">
        <v>12.320802090000001</v>
      </c>
      <c r="I227" s="25">
        <v>4.021252086828106E-2</v>
      </c>
      <c r="J227" s="11"/>
      <c r="K227" s="12"/>
      <c r="L227" s="8">
        <v>1130133.01</v>
      </c>
      <c r="M227" s="36">
        <v>1.5066558874177541E-3</v>
      </c>
      <c r="N227" s="8"/>
      <c r="O227" s="17"/>
      <c r="P227" s="8"/>
      <c r="Q227" s="16"/>
    </row>
    <row r="228" spans="3:17" ht="11.25" customHeight="1" x14ac:dyDescent="0.2">
      <c r="C228" s="8">
        <v>4</v>
      </c>
      <c r="D228" s="8">
        <v>24</v>
      </c>
      <c r="E228" s="9" t="s">
        <v>17</v>
      </c>
      <c r="F228" s="10" t="s">
        <v>23</v>
      </c>
      <c r="G228" s="10"/>
      <c r="H228" s="8">
        <v>11.388189970000001</v>
      </c>
      <c r="I228" s="25">
        <v>3.5212520868281062E-2</v>
      </c>
      <c r="J228" s="11"/>
      <c r="K228" s="12"/>
      <c r="L228" s="8">
        <v>1110843.7</v>
      </c>
      <c r="M228" s="36">
        <v>1.480940018384138E-3</v>
      </c>
      <c r="N228" s="8"/>
      <c r="O228" s="17"/>
      <c r="P228" s="8"/>
      <c r="Q228" s="16"/>
    </row>
    <row r="229" spans="3:17" ht="11.25" customHeight="1" x14ac:dyDescent="0.2">
      <c r="C229" s="8">
        <v>4</v>
      </c>
      <c r="D229" s="8">
        <v>24</v>
      </c>
      <c r="E229" s="9" t="s">
        <v>18</v>
      </c>
      <c r="F229" s="10" t="s">
        <v>23</v>
      </c>
      <c r="G229" s="10"/>
      <c r="H229" s="8">
        <v>12.04666327</v>
      </c>
      <c r="I229" s="25">
        <v>3.0212520868281061E-2</v>
      </c>
      <c r="J229" s="11"/>
      <c r="K229" s="12"/>
      <c r="L229" s="8">
        <v>975156.36</v>
      </c>
      <c r="M229" s="36">
        <v>1.30004615204264E-3</v>
      </c>
      <c r="N229" s="8"/>
      <c r="O229" s="17"/>
      <c r="P229" s="8"/>
      <c r="Q229" s="16"/>
    </row>
    <row r="230" spans="3:17" ht="11.25" customHeight="1" x14ac:dyDescent="0.2">
      <c r="C230" s="8">
        <v>4</v>
      </c>
      <c r="D230" s="8">
        <v>24</v>
      </c>
      <c r="E230" s="9" t="s">
        <v>19</v>
      </c>
      <c r="F230" s="10" t="s">
        <v>23</v>
      </c>
      <c r="G230" s="10"/>
      <c r="H230" s="8">
        <v>11.14935947</v>
      </c>
      <c r="I230" s="25">
        <v>2.5212520868281057E-2</v>
      </c>
      <c r="J230" s="11"/>
      <c r="K230" s="12"/>
      <c r="L230" s="8">
        <v>507944.72</v>
      </c>
      <c r="M230" s="36">
        <v>6.771750724021082E-4</v>
      </c>
      <c r="N230" s="8"/>
      <c r="O230" s="17"/>
      <c r="P230" s="8"/>
      <c r="Q230" s="16"/>
    </row>
    <row r="231" spans="3:17" ht="11.25" customHeight="1" x14ac:dyDescent="0.2">
      <c r="C231" s="8">
        <v>4</v>
      </c>
      <c r="D231" s="8">
        <v>24</v>
      </c>
      <c r="E231" s="9" t="s">
        <v>20</v>
      </c>
      <c r="F231" s="10" t="s">
        <v>23</v>
      </c>
      <c r="G231" s="10"/>
      <c r="H231" s="8">
        <v>10.694415279999999</v>
      </c>
      <c r="I231" s="25">
        <v>2.0212520868281056E-2</v>
      </c>
      <c r="J231" s="11"/>
      <c r="K231" s="12"/>
      <c r="L231" s="8">
        <v>319064.90000000002</v>
      </c>
      <c r="M231" s="36">
        <v>4.2536675400124528E-4</v>
      </c>
      <c r="N231" s="8"/>
      <c r="O231" s="17"/>
      <c r="P231" s="8"/>
      <c r="Q231" s="16"/>
    </row>
    <row r="232" spans="3:17" ht="11.25" customHeight="1" x14ac:dyDescent="0.2">
      <c r="C232" s="8">
        <v>4</v>
      </c>
      <c r="D232" s="8">
        <v>24</v>
      </c>
      <c r="E232" s="9" t="s">
        <v>21</v>
      </c>
      <c r="F232" s="10" t="s">
        <v>23</v>
      </c>
      <c r="G232" s="10"/>
      <c r="H232" s="8">
        <v>8.667919478</v>
      </c>
      <c r="I232" s="25">
        <v>1.5212520868281057E-2</v>
      </c>
      <c r="J232" s="11"/>
      <c r="K232" s="12"/>
      <c r="L232" s="8">
        <v>46872.71</v>
      </c>
      <c r="M232" s="36">
        <v>6.2489144070506384E-5</v>
      </c>
      <c r="N232" s="8"/>
      <c r="O232" s="17"/>
      <c r="P232" s="8"/>
      <c r="Q232" s="16"/>
    </row>
    <row r="233" spans="3:17" ht="11.25" customHeight="1" x14ac:dyDescent="0.2">
      <c r="C233" s="8">
        <v>4</v>
      </c>
      <c r="D233" s="8">
        <v>36</v>
      </c>
      <c r="E233" s="9" t="s">
        <v>14</v>
      </c>
      <c r="F233" s="10" t="s">
        <v>22</v>
      </c>
      <c r="G233" s="10"/>
      <c r="H233" s="8">
        <v>11.77948563</v>
      </c>
      <c r="I233" s="25">
        <v>6.9819057255970762E-2</v>
      </c>
      <c r="J233" s="11"/>
      <c r="K233" s="12"/>
      <c r="L233" s="8">
        <v>1119809.54</v>
      </c>
      <c r="M233" s="36">
        <v>1.492892979232212E-3</v>
      </c>
      <c r="N233" s="8"/>
      <c r="O233" s="17"/>
      <c r="P233" s="8"/>
      <c r="Q233" s="16"/>
    </row>
    <row r="234" spans="3:17" ht="11.25" customHeight="1" x14ac:dyDescent="0.2">
      <c r="C234" s="8">
        <v>4</v>
      </c>
      <c r="D234" s="8">
        <v>36</v>
      </c>
      <c r="E234" s="9" t="s">
        <v>16</v>
      </c>
      <c r="F234" s="10" t="s">
        <v>22</v>
      </c>
      <c r="G234" s="10"/>
      <c r="H234" s="8">
        <v>11.994547580000001</v>
      </c>
      <c r="I234" s="25">
        <v>6.4819057255970758E-2</v>
      </c>
      <c r="J234" s="11"/>
      <c r="K234" s="12"/>
      <c r="L234" s="8">
        <v>861380.72</v>
      </c>
      <c r="M234" s="36">
        <v>1.1483642382024959E-3</v>
      </c>
      <c r="N234" s="8"/>
      <c r="O234" s="17"/>
      <c r="P234" s="8"/>
      <c r="Q234" s="16"/>
    </row>
    <row r="235" spans="3:17" ht="11.25" customHeight="1" x14ac:dyDescent="0.2">
      <c r="C235" s="8">
        <v>4</v>
      </c>
      <c r="D235" s="8">
        <v>36</v>
      </c>
      <c r="E235" s="9" t="s">
        <v>17</v>
      </c>
      <c r="F235" s="10" t="s">
        <v>22</v>
      </c>
      <c r="G235" s="10"/>
      <c r="H235" s="8">
        <v>10.576023989999999</v>
      </c>
      <c r="I235" s="25">
        <v>5.981905725597076E-2</v>
      </c>
      <c r="J235" s="11"/>
      <c r="K235" s="12"/>
      <c r="L235" s="8">
        <v>673865.79000000015</v>
      </c>
      <c r="M235" s="36">
        <v>8.9837554593057676E-4</v>
      </c>
      <c r="N235" s="8"/>
      <c r="O235" s="17"/>
      <c r="P235" s="8"/>
      <c r="Q235" s="16"/>
    </row>
    <row r="236" spans="3:17" ht="11.25" customHeight="1" x14ac:dyDescent="0.2">
      <c r="C236" s="8">
        <v>4</v>
      </c>
      <c r="D236" s="8">
        <v>36</v>
      </c>
      <c r="E236" s="9" t="s">
        <v>18</v>
      </c>
      <c r="F236" s="10" t="s">
        <v>22</v>
      </c>
      <c r="G236" s="10"/>
      <c r="H236" s="8">
        <v>11.08768676</v>
      </c>
      <c r="I236" s="25">
        <v>5.4819057255970763E-2</v>
      </c>
      <c r="J236" s="11"/>
      <c r="K236" s="12"/>
      <c r="L236" s="8">
        <v>591942.37</v>
      </c>
      <c r="M236" s="36">
        <v>7.8915795652453196E-4</v>
      </c>
      <c r="N236" s="8"/>
      <c r="O236" s="17"/>
      <c r="P236" s="8"/>
      <c r="Q236" s="16"/>
    </row>
    <row r="237" spans="3:17" ht="11.25" customHeight="1" x14ac:dyDescent="0.2">
      <c r="C237" s="8">
        <v>4</v>
      </c>
      <c r="D237" s="8">
        <v>36</v>
      </c>
      <c r="E237" s="9" t="s">
        <v>19</v>
      </c>
      <c r="F237" s="10" t="s">
        <v>22</v>
      </c>
      <c r="G237" s="10"/>
      <c r="H237" s="8">
        <v>9.4551721339999997</v>
      </c>
      <c r="I237" s="25">
        <v>4.9819057255970758E-2</v>
      </c>
      <c r="J237" s="11"/>
      <c r="K237" s="12"/>
      <c r="L237" s="8">
        <v>292129.28000000003</v>
      </c>
      <c r="M237" s="36">
        <v>3.8945707779928438E-4</v>
      </c>
      <c r="N237" s="8"/>
      <c r="O237" s="17"/>
      <c r="P237" s="8"/>
      <c r="Q237" s="16"/>
    </row>
    <row r="238" spans="3:17" ht="11.25" customHeight="1" x14ac:dyDescent="0.2">
      <c r="C238" s="8">
        <v>4</v>
      </c>
      <c r="D238" s="8">
        <v>36</v>
      </c>
      <c r="E238" s="9" t="s">
        <v>20</v>
      </c>
      <c r="F238" s="10" t="s">
        <v>22</v>
      </c>
      <c r="G238" s="10"/>
      <c r="H238" s="8">
        <v>9.7895362739999996</v>
      </c>
      <c r="I238" s="25">
        <v>4.4819057255970761E-2</v>
      </c>
      <c r="J238" s="11"/>
      <c r="K238" s="12"/>
      <c r="L238" s="8">
        <v>211201.39</v>
      </c>
      <c r="M238" s="36">
        <v>2.8156669600714799E-4</v>
      </c>
      <c r="N238" s="8"/>
      <c r="O238" s="17"/>
      <c r="P238" s="8"/>
      <c r="Q238" s="16"/>
    </row>
    <row r="239" spans="3:17" ht="11.25" customHeight="1" x14ac:dyDescent="0.2">
      <c r="C239" s="8">
        <v>4</v>
      </c>
      <c r="D239" s="8">
        <v>36</v>
      </c>
      <c r="E239" s="9" t="s">
        <v>21</v>
      </c>
      <c r="F239" s="10" t="s">
        <v>22</v>
      </c>
      <c r="G239" s="10"/>
      <c r="H239" s="8">
        <v>7.49</v>
      </c>
      <c r="I239" s="25">
        <v>3.9819057255970763E-2</v>
      </c>
      <c r="J239" s="11"/>
      <c r="K239" s="12"/>
      <c r="L239" s="8">
        <v>28813.64</v>
      </c>
      <c r="M239" s="36">
        <v>3.8413390246813237E-5</v>
      </c>
      <c r="N239" s="8"/>
      <c r="O239" s="17"/>
      <c r="P239" s="8"/>
      <c r="Q239" s="16"/>
    </row>
    <row r="240" spans="3:17" ht="11.25" customHeight="1" x14ac:dyDescent="0.2">
      <c r="C240" s="8">
        <v>4</v>
      </c>
      <c r="D240" s="8">
        <v>36</v>
      </c>
      <c r="E240" s="9" t="s">
        <v>18</v>
      </c>
      <c r="F240" s="10" t="s">
        <v>24</v>
      </c>
      <c r="G240" s="10"/>
      <c r="H240" s="8">
        <v>13.48</v>
      </c>
      <c r="I240" s="25">
        <v>5.4819057255970763E-2</v>
      </c>
      <c r="J240" s="11"/>
      <c r="K240" s="12"/>
      <c r="L240" s="8">
        <v>40928.800000000003</v>
      </c>
      <c r="M240" s="36">
        <v>5.4564920181336681E-5</v>
      </c>
      <c r="N240" s="8"/>
      <c r="O240" s="17"/>
      <c r="P240" s="8"/>
      <c r="Q240" s="16"/>
    </row>
    <row r="241" spans="3:17" ht="11.25" customHeight="1" x14ac:dyDescent="0.2">
      <c r="C241" s="8">
        <v>4</v>
      </c>
      <c r="D241" s="8">
        <v>36</v>
      </c>
      <c r="E241" s="9" t="s">
        <v>14</v>
      </c>
      <c r="F241" s="10" t="s">
        <v>23</v>
      </c>
      <c r="G241" s="10"/>
      <c r="H241" s="8">
        <v>13.757136729999999</v>
      </c>
      <c r="I241" s="25">
        <v>5.981905725597076E-2</v>
      </c>
      <c r="J241" s="11"/>
      <c r="K241" s="12"/>
      <c r="L241" s="8">
        <v>1626357.27</v>
      </c>
      <c r="M241" s="36">
        <v>2.1682056308488561E-3</v>
      </c>
      <c r="N241" s="8"/>
      <c r="O241" s="17"/>
      <c r="P241" s="8"/>
      <c r="Q241" s="16"/>
    </row>
    <row r="242" spans="3:17" ht="11.25" customHeight="1" x14ac:dyDescent="0.2">
      <c r="C242" s="8">
        <v>4</v>
      </c>
      <c r="D242" s="8">
        <v>36</v>
      </c>
      <c r="E242" s="9" t="s">
        <v>16</v>
      </c>
      <c r="F242" s="10" t="s">
        <v>23</v>
      </c>
      <c r="G242" s="10"/>
      <c r="H242" s="8">
        <v>14.24460184</v>
      </c>
      <c r="I242" s="25">
        <v>5.4819057255970763E-2</v>
      </c>
      <c r="J242" s="11"/>
      <c r="K242" s="12"/>
      <c r="L242" s="8">
        <v>1492841.36</v>
      </c>
      <c r="M242" s="36">
        <v>1.9902066430434831E-3</v>
      </c>
      <c r="N242" s="8"/>
      <c r="O242" s="17"/>
      <c r="P242" s="8"/>
      <c r="Q242" s="16"/>
    </row>
    <row r="243" spans="3:17" ht="11.25" customHeight="1" x14ac:dyDescent="0.2">
      <c r="C243" s="8">
        <v>4</v>
      </c>
      <c r="D243" s="8">
        <v>36</v>
      </c>
      <c r="E243" s="9" t="s">
        <v>17</v>
      </c>
      <c r="F243" s="10" t="s">
        <v>23</v>
      </c>
      <c r="G243" s="10"/>
      <c r="H243" s="8">
        <v>13.70535271</v>
      </c>
      <c r="I243" s="25">
        <v>4.9819057255970758E-2</v>
      </c>
      <c r="J243" s="11"/>
      <c r="K243" s="12"/>
      <c r="L243" s="8">
        <v>1352928.75</v>
      </c>
      <c r="M243" s="36">
        <v>1.8036797867219559E-3</v>
      </c>
      <c r="N243" s="8"/>
      <c r="O243" s="17"/>
      <c r="P243" s="8"/>
      <c r="Q243" s="16"/>
    </row>
    <row r="244" spans="3:17" ht="11.25" customHeight="1" x14ac:dyDescent="0.2">
      <c r="C244" s="8">
        <v>4</v>
      </c>
      <c r="D244" s="8">
        <v>36</v>
      </c>
      <c r="E244" s="9" t="s">
        <v>18</v>
      </c>
      <c r="F244" s="10" t="s">
        <v>23</v>
      </c>
      <c r="G244" s="10"/>
      <c r="H244" s="8">
        <v>13.48878757</v>
      </c>
      <c r="I244" s="25">
        <v>4.4819057255970761E-2</v>
      </c>
      <c r="J244" s="11"/>
      <c r="K244" s="12"/>
      <c r="L244" s="8">
        <v>1025864.48</v>
      </c>
      <c r="M244" s="36">
        <v>1.367648537657309E-3</v>
      </c>
      <c r="N244" s="8"/>
      <c r="O244" s="17"/>
      <c r="P244" s="8"/>
      <c r="Q244" s="16"/>
    </row>
    <row r="245" spans="3:17" ht="11.25" customHeight="1" x14ac:dyDescent="0.2">
      <c r="C245" s="8">
        <v>4</v>
      </c>
      <c r="D245" s="8">
        <v>36</v>
      </c>
      <c r="E245" s="9" t="s">
        <v>19</v>
      </c>
      <c r="F245" s="10" t="s">
        <v>23</v>
      </c>
      <c r="G245" s="10"/>
      <c r="H245" s="8">
        <v>12.05578536</v>
      </c>
      <c r="I245" s="25">
        <v>3.9819057255970763E-2</v>
      </c>
      <c r="J245" s="11"/>
      <c r="K245" s="12"/>
      <c r="L245" s="8">
        <v>533601.29</v>
      </c>
      <c r="M245" s="36">
        <v>7.1137956151923068E-4</v>
      </c>
      <c r="N245" s="8"/>
      <c r="O245" s="17"/>
      <c r="P245" s="8"/>
      <c r="Q245" s="16"/>
    </row>
    <row r="246" spans="3:17" ht="11.25" customHeight="1" x14ac:dyDescent="0.2">
      <c r="C246" s="8">
        <v>4</v>
      </c>
      <c r="D246" s="8">
        <v>36</v>
      </c>
      <c r="E246" s="9" t="s">
        <v>20</v>
      </c>
      <c r="F246" s="10" t="s">
        <v>23</v>
      </c>
      <c r="G246" s="10"/>
      <c r="H246" s="8">
        <v>11.447283000000001</v>
      </c>
      <c r="I246" s="25">
        <v>3.4819057255970759E-2</v>
      </c>
      <c r="J246" s="11"/>
      <c r="K246" s="12"/>
      <c r="L246" s="8">
        <v>190732.67</v>
      </c>
      <c r="M246" s="36">
        <v>2.5427847663560212E-4</v>
      </c>
      <c r="N246" s="8"/>
      <c r="O246" s="17"/>
      <c r="P246" s="8"/>
      <c r="Q246" s="16"/>
    </row>
    <row r="247" spans="3:17" ht="11.25" customHeight="1" x14ac:dyDescent="0.2">
      <c r="C247" s="8">
        <v>4</v>
      </c>
      <c r="D247" s="8">
        <v>36</v>
      </c>
      <c r="E247" s="9" t="s">
        <v>21</v>
      </c>
      <c r="F247" s="10" t="s">
        <v>23</v>
      </c>
      <c r="G247" s="10"/>
      <c r="H247" s="8">
        <v>11.385859590000001</v>
      </c>
      <c r="I247" s="25">
        <v>2.9819057255970761E-2</v>
      </c>
      <c r="J247" s="11"/>
      <c r="K247" s="12"/>
      <c r="L247" s="8">
        <v>89279.44</v>
      </c>
      <c r="M247" s="36">
        <v>1.190243915637506E-4</v>
      </c>
      <c r="N247" s="8"/>
      <c r="O247" s="17"/>
      <c r="P247" s="8"/>
      <c r="Q247" s="16"/>
    </row>
    <row r="248" spans="3:17" ht="11.25" customHeight="1" x14ac:dyDescent="0.2">
      <c r="C248" s="8">
        <v>4</v>
      </c>
      <c r="D248" s="8">
        <v>48</v>
      </c>
      <c r="E248" s="9" t="s">
        <v>14</v>
      </c>
      <c r="F248" s="10" t="s">
        <v>22</v>
      </c>
      <c r="G248" s="10"/>
      <c r="H248" s="8">
        <v>13.068089909999999</v>
      </c>
      <c r="I248" s="25">
        <v>0.14297913581469587</v>
      </c>
      <c r="J248" s="11"/>
      <c r="K248" s="12"/>
      <c r="L248" s="8">
        <v>3295494.28</v>
      </c>
      <c r="M248" s="36">
        <v>4.3934437937650653E-3</v>
      </c>
      <c r="N248" s="8"/>
      <c r="O248" s="17"/>
      <c r="P248" s="8"/>
      <c r="Q248" s="16"/>
    </row>
    <row r="249" spans="3:17" ht="11.25" customHeight="1" x14ac:dyDescent="0.2">
      <c r="C249" s="8">
        <v>4</v>
      </c>
      <c r="D249" s="8">
        <v>48</v>
      </c>
      <c r="E249" s="9" t="s">
        <v>16</v>
      </c>
      <c r="F249" s="10" t="s">
        <v>22</v>
      </c>
      <c r="G249" s="10"/>
      <c r="H249" s="8">
        <v>12.646151359999999</v>
      </c>
      <c r="I249" s="25">
        <v>0.1379791358146959</v>
      </c>
      <c r="J249" s="11"/>
      <c r="K249" s="12"/>
      <c r="L249" s="8">
        <v>3288690.42</v>
      </c>
      <c r="M249" s="36">
        <v>4.3843731130261956E-3</v>
      </c>
      <c r="N249" s="8"/>
      <c r="O249" s="17"/>
      <c r="P249" s="8"/>
      <c r="Q249" s="16"/>
    </row>
    <row r="250" spans="3:17" ht="11.25" customHeight="1" x14ac:dyDescent="0.2">
      <c r="C250" s="8">
        <v>4</v>
      </c>
      <c r="D250" s="8">
        <v>48</v>
      </c>
      <c r="E250" s="9" t="s">
        <v>17</v>
      </c>
      <c r="F250" s="10" t="s">
        <v>22</v>
      </c>
      <c r="G250" s="10"/>
      <c r="H250" s="8">
        <v>12.05088503</v>
      </c>
      <c r="I250" s="25">
        <v>0.13297913581469589</v>
      </c>
      <c r="J250" s="11"/>
      <c r="K250" s="12"/>
      <c r="L250" s="8">
        <v>2237452.19</v>
      </c>
      <c r="M250" s="36">
        <v>2.9828971325058869E-3</v>
      </c>
      <c r="N250" s="8"/>
      <c r="O250" s="17"/>
      <c r="P250" s="8"/>
      <c r="Q250" s="16"/>
    </row>
    <row r="251" spans="3:17" ht="11.25" customHeight="1" x14ac:dyDescent="0.2">
      <c r="C251" s="8">
        <v>4</v>
      </c>
      <c r="D251" s="8">
        <v>48</v>
      </c>
      <c r="E251" s="9" t="s">
        <v>18</v>
      </c>
      <c r="F251" s="10" t="s">
        <v>22</v>
      </c>
      <c r="G251" s="10"/>
      <c r="H251" s="8">
        <v>10.30482971</v>
      </c>
      <c r="I251" s="25">
        <v>0.12797913581469589</v>
      </c>
      <c r="J251" s="11"/>
      <c r="K251" s="12"/>
      <c r="L251" s="8">
        <v>1597197.53</v>
      </c>
      <c r="M251" s="36">
        <v>2.1293308315483992E-3</v>
      </c>
      <c r="N251" s="8"/>
      <c r="O251" s="17"/>
      <c r="P251" s="8"/>
      <c r="Q251" s="16"/>
    </row>
    <row r="252" spans="3:17" ht="11.25" customHeight="1" x14ac:dyDescent="0.2">
      <c r="C252" s="8">
        <v>4</v>
      </c>
      <c r="D252" s="8">
        <v>48</v>
      </c>
      <c r="E252" s="9" t="s">
        <v>19</v>
      </c>
      <c r="F252" s="10" t="s">
        <v>22</v>
      </c>
      <c r="G252" s="10"/>
      <c r="H252" s="8">
        <v>10.997301520000001</v>
      </c>
      <c r="I252" s="25">
        <v>0.12297913581469588</v>
      </c>
      <c r="J252" s="11"/>
      <c r="K252" s="12"/>
      <c r="L252" s="8">
        <v>838518.18000000017</v>
      </c>
      <c r="M252" s="36">
        <v>1.1178846573146469E-3</v>
      </c>
      <c r="N252" s="8"/>
      <c r="O252" s="17"/>
      <c r="P252" s="8"/>
      <c r="Q252" s="16"/>
    </row>
    <row r="253" spans="3:17" ht="11.25" customHeight="1" x14ac:dyDescent="0.2">
      <c r="C253" s="8">
        <v>4</v>
      </c>
      <c r="D253" s="8">
        <v>48</v>
      </c>
      <c r="E253" s="9" t="s">
        <v>20</v>
      </c>
      <c r="F253" s="10" t="s">
        <v>22</v>
      </c>
      <c r="G253" s="10"/>
      <c r="H253" s="8">
        <v>10.2087375</v>
      </c>
      <c r="I253" s="25">
        <v>0.11797913581469588</v>
      </c>
      <c r="J253" s="11"/>
      <c r="K253" s="12"/>
      <c r="L253" s="8">
        <v>611799.72</v>
      </c>
      <c r="M253" s="36">
        <v>8.1563111766687823E-4</v>
      </c>
      <c r="N253" s="8"/>
      <c r="O253" s="17"/>
      <c r="P253" s="8"/>
      <c r="Q253" s="16"/>
    </row>
    <row r="254" spans="3:17" ht="11.25" customHeight="1" x14ac:dyDescent="0.2">
      <c r="C254" s="8">
        <v>4</v>
      </c>
      <c r="D254" s="8">
        <v>48</v>
      </c>
      <c r="E254" s="9" t="s">
        <v>21</v>
      </c>
      <c r="F254" s="10" t="s">
        <v>22</v>
      </c>
      <c r="G254" s="10"/>
      <c r="H254" s="8">
        <v>10.18537175</v>
      </c>
      <c r="I254" s="25">
        <v>0.11297913581469589</v>
      </c>
      <c r="J254" s="11"/>
      <c r="K254" s="12"/>
      <c r="L254" s="8">
        <v>212846.87</v>
      </c>
      <c r="M254" s="36">
        <v>2.8376039542809319E-4</v>
      </c>
      <c r="N254" s="8"/>
      <c r="O254" s="17"/>
      <c r="P254" s="8"/>
      <c r="Q254" s="16"/>
    </row>
    <row r="255" spans="3:17" ht="11.25" customHeight="1" x14ac:dyDescent="0.2">
      <c r="C255" s="8">
        <v>4</v>
      </c>
      <c r="D255" s="8">
        <v>48</v>
      </c>
      <c r="E255" s="9" t="s">
        <v>21</v>
      </c>
      <c r="F255" s="10" t="s">
        <v>24</v>
      </c>
      <c r="G255" s="10"/>
      <c r="H255" s="8">
        <v>15.04</v>
      </c>
      <c r="I255" s="25">
        <v>0.11297913581469589</v>
      </c>
      <c r="J255" s="11"/>
      <c r="K255" s="12"/>
      <c r="L255" s="8">
        <v>85834.29</v>
      </c>
      <c r="M255" s="36">
        <v>1.144314317222031E-4</v>
      </c>
      <c r="N255" s="8"/>
      <c r="O255" s="17"/>
      <c r="P255" s="8"/>
      <c r="Q255" s="16"/>
    </row>
    <row r="256" spans="3:17" ht="11.25" customHeight="1" x14ac:dyDescent="0.2">
      <c r="C256" s="8">
        <v>4</v>
      </c>
      <c r="D256" s="8">
        <v>48</v>
      </c>
      <c r="E256" s="9" t="s">
        <v>14</v>
      </c>
      <c r="F256" s="10" t="s">
        <v>23</v>
      </c>
      <c r="G256" s="10"/>
      <c r="H256" s="8">
        <v>15.913524089999999</v>
      </c>
      <c r="I256" s="25">
        <v>0.13297913581469589</v>
      </c>
      <c r="J256" s="11"/>
      <c r="K256" s="12"/>
      <c r="L256" s="8">
        <v>2124726.89</v>
      </c>
      <c r="M256" s="36">
        <v>2.8326154971557859E-3</v>
      </c>
      <c r="N256" s="8"/>
      <c r="O256" s="17"/>
      <c r="P256" s="8"/>
      <c r="Q256" s="16"/>
    </row>
    <row r="257" spans="3:17" ht="11.25" customHeight="1" x14ac:dyDescent="0.2">
      <c r="C257" s="8">
        <v>4</v>
      </c>
      <c r="D257" s="8">
        <v>48</v>
      </c>
      <c r="E257" s="9" t="s">
        <v>16</v>
      </c>
      <c r="F257" s="10" t="s">
        <v>23</v>
      </c>
      <c r="G257" s="10"/>
      <c r="H257" s="8">
        <v>16.087600170000002</v>
      </c>
      <c r="I257" s="25">
        <v>0.12797913581469589</v>
      </c>
      <c r="J257" s="11"/>
      <c r="K257" s="12"/>
      <c r="L257" s="8">
        <v>2388673.83</v>
      </c>
      <c r="M257" s="36">
        <v>3.1845008129531721E-3</v>
      </c>
      <c r="N257" s="8"/>
      <c r="O257" s="17"/>
      <c r="P257" s="8"/>
      <c r="Q257" s="16"/>
    </row>
    <row r="258" spans="3:17" ht="11.25" customHeight="1" x14ac:dyDescent="0.2">
      <c r="C258" s="8">
        <v>4</v>
      </c>
      <c r="D258" s="8">
        <v>48</v>
      </c>
      <c r="E258" s="9" t="s">
        <v>17</v>
      </c>
      <c r="F258" s="10" t="s">
        <v>23</v>
      </c>
      <c r="G258" s="10"/>
      <c r="H258" s="8">
        <v>14.97591136</v>
      </c>
      <c r="I258" s="25">
        <v>0.12297913581469588</v>
      </c>
      <c r="J258" s="11"/>
      <c r="K258" s="12"/>
      <c r="L258" s="8">
        <v>2004295.47</v>
      </c>
      <c r="M258" s="36">
        <v>2.672060317926855E-3</v>
      </c>
      <c r="N258" s="8"/>
      <c r="O258" s="17"/>
      <c r="P258" s="8"/>
      <c r="Q258" s="16"/>
    </row>
    <row r="259" spans="3:17" ht="11.25" customHeight="1" x14ac:dyDescent="0.2">
      <c r="C259" s="8">
        <v>4</v>
      </c>
      <c r="D259" s="8">
        <v>48</v>
      </c>
      <c r="E259" s="9" t="s">
        <v>18</v>
      </c>
      <c r="F259" s="10" t="s">
        <v>23</v>
      </c>
      <c r="G259" s="10"/>
      <c r="H259" s="8">
        <v>15.168386529999999</v>
      </c>
      <c r="I259" s="25">
        <v>0.11797913581469588</v>
      </c>
      <c r="J259" s="11"/>
      <c r="K259" s="12"/>
      <c r="L259" s="8">
        <v>987894.36</v>
      </c>
      <c r="M259" s="36">
        <v>1.31702803163036E-3</v>
      </c>
      <c r="N259" s="8"/>
      <c r="O259" s="17"/>
      <c r="P259" s="8"/>
      <c r="Q259" s="16"/>
    </row>
    <row r="260" spans="3:17" ht="11.25" customHeight="1" x14ac:dyDescent="0.2">
      <c r="C260" s="8">
        <v>4</v>
      </c>
      <c r="D260" s="8">
        <v>48</v>
      </c>
      <c r="E260" s="9" t="s">
        <v>19</v>
      </c>
      <c r="F260" s="10" t="s">
        <v>23</v>
      </c>
      <c r="G260" s="10"/>
      <c r="H260" s="8">
        <v>15.20438309</v>
      </c>
      <c r="I260" s="25">
        <v>0.11297913581469589</v>
      </c>
      <c r="J260" s="11"/>
      <c r="K260" s="12"/>
      <c r="L260" s="8">
        <v>1113624.07</v>
      </c>
      <c r="M260" s="36">
        <v>1.484646715553969E-3</v>
      </c>
      <c r="N260" s="8"/>
      <c r="O260" s="17"/>
      <c r="P260" s="8"/>
      <c r="Q260" s="16"/>
    </row>
    <row r="261" spans="3:17" ht="11.25" customHeight="1" x14ac:dyDescent="0.2">
      <c r="C261" s="8">
        <v>4</v>
      </c>
      <c r="D261" s="8">
        <v>48</v>
      </c>
      <c r="E261" s="9" t="s">
        <v>20</v>
      </c>
      <c r="F261" s="10" t="s">
        <v>23</v>
      </c>
      <c r="G261" s="10"/>
      <c r="H261" s="8">
        <v>13.558247489999999</v>
      </c>
      <c r="I261" s="25">
        <v>0.10797913581469588</v>
      </c>
      <c r="J261" s="11"/>
      <c r="K261" s="12"/>
      <c r="L261" s="8">
        <v>341945.7</v>
      </c>
      <c r="M261" s="36">
        <v>4.5587067851613768E-4</v>
      </c>
      <c r="N261" s="8"/>
      <c r="O261" s="17"/>
      <c r="P261" s="8"/>
      <c r="Q261" s="16"/>
    </row>
    <row r="262" spans="3:17" ht="11.25" customHeight="1" x14ac:dyDescent="0.2">
      <c r="C262" s="8">
        <v>4</v>
      </c>
      <c r="D262" s="8">
        <v>48</v>
      </c>
      <c r="E262" s="9" t="s">
        <v>21</v>
      </c>
      <c r="F262" s="10" t="s">
        <v>23</v>
      </c>
      <c r="G262" s="10"/>
      <c r="H262" s="8">
        <v>14.952573490000001</v>
      </c>
      <c r="I262" s="25">
        <v>0.10297913581469588</v>
      </c>
      <c r="J262" s="11"/>
      <c r="K262" s="12"/>
      <c r="L262" s="8">
        <v>118311.74</v>
      </c>
      <c r="M262" s="36">
        <v>1.5772929207831789E-4</v>
      </c>
      <c r="N262" s="8"/>
      <c r="O262" s="17"/>
      <c r="P262" s="8"/>
      <c r="Q262" s="16"/>
    </row>
    <row r="263" spans="3:17" ht="11.25" customHeight="1" x14ac:dyDescent="0.2">
      <c r="C263" s="8">
        <v>4</v>
      </c>
      <c r="D263" s="8">
        <v>60</v>
      </c>
      <c r="E263" s="9" t="s">
        <v>14</v>
      </c>
      <c r="F263" s="10" t="s">
        <v>22</v>
      </c>
      <c r="G263" s="10"/>
      <c r="H263" s="8">
        <v>14.432747900000001</v>
      </c>
      <c r="I263" s="25">
        <v>0.14917408691171732</v>
      </c>
      <c r="J263" s="11"/>
      <c r="K263" s="12"/>
      <c r="L263" s="8">
        <v>4460145.33</v>
      </c>
      <c r="M263" s="36">
        <v>5.946117988521812E-3</v>
      </c>
      <c r="N263" s="8"/>
      <c r="O263" s="17"/>
      <c r="P263" s="8"/>
      <c r="Q263" s="16"/>
    </row>
    <row r="264" spans="3:17" ht="11.25" customHeight="1" x14ac:dyDescent="0.2">
      <c r="C264" s="8">
        <v>4</v>
      </c>
      <c r="D264" s="8">
        <v>60</v>
      </c>
      <c r="E264" s="9" t="s">
        <v>16</v>
      </c>
      <c r="F264" s="10" t="s">
        <v>22</v>
      </c>
      <c r="G264" s="10"/>
      <c r="H264" s="8">
        <v>14.244270159999999</v>
      </c>
      <c r="I264" s="25">
        <v>0.14417408691171732</v>
      </c>
      <c r="J264" s="11"/>
      <c r="K264" s="12"/>
      <c r="L264" s="8">
        <v>4140328.94</v>
      </c>
      <c r="M264" s="36">
        <v>5.5197493729495688E-3</v>
      </c>
      <c r="N264" s="8"/>
      <c r="O264" s="17"/>
      <c r="P264" s="8"/>
      <c r="Q264" s="16"/>
    </row>
    <row r="265" spans="3:17" ht="11.25" customHeight="1" x14ac:dyDescent="0.2">
      <c r="C265" s="8">
        <v>4</v>
      </c>
      <c r="D265" s="8">
        <v>60</v>
      </c>
      <c r="E265" s="9" t="s">
        <v>17</v>
      </c>
      <c r="F265" s="10" t="s">
        <v>22</v>
      </c>
      <c r="G265" s="10"/>
      <c r="H265" s="8">
        <v>13.06577027</v>
      </c>
      <c r="I265" s="25">
        <v>0.13917408691171734</v>
      </c>
      <c r="J265" s="11"/>
      <c r="K265" s="12"/>
      <c r="L265" s="8">
        <v>3634643.56</v>
      </c>
      <c r="M265" s="36">
        <v>4.845586377783111E-3</v>
      </c>
      <c r="N265" s="8"/>
      <c r="O265" s="17"/>
      <c r="P265" s="8"/>
      <c r="Q265" s="16"/>
    </row>
    <row r="266" spans="3:17" ht="11.25" customHeight="1" x14ac:dyDescent="0.2">
      <c r="C266" s="8">
        <v>4</v>
      </c>
      <c r="D266" s="8">
        <v>60</v>
      </c>
      <c r="E266" s="9" t="s">
        <v>18</v>
      </c>
      <c r="F266" s="10" t="s">
        <v>22</v>
      </c>
      <c r="G266" s="10"/>
      <c r="H266" s="8">
        <v>12.54827409</v>
      </c>
      <c r="I266" s="25">
        <v>0.13417408691171734</v>
      </c>
      <c r="J266" s="11"/>
      <c r="K266" s="12"/>
      <c r="L266" s="8">
        <v>1911570.77</v>
      </c>
      <c r="M266" s="36">
        <v>2.548442819873202E-3</v>
      </c>
      <c r="N266" s="8"/>
      <c r="O266" s="17"/>
      <c r="P266" s="8"/>
      <c r="Q266" s="16"/>
    </row>
    <row r="267" spans="3:17" ht="11.25" customHeight="1" x14ac:dyDescent="0.2">
      <c r="C267" s="8">
        <v>4</v>
      </c>
      <c r="D267" s="8">
        <v>60</v>
      </c>
      <c r="E267" s="9" t="s">
        <v>19</v>
      </c>
      <c r="F267" s="10" t="s">
        <v>22</v>
      </c>
      <c r="G267" s="10"/>
      <c r="H267" s="8">
        <v>11.46461985</v>
      </c>
      <c r="I267" s="25">
        <v>0.12917408691171733</v>
      </c>
      <c r="J267" s="11"/>
      <c r="K267" s="12"/>
      <c r="L267" s="8">
        <v>1360499.32</v>
      </c>
      <c r="M267" s="36">
        <v>1.813772619831581E-3</v>
      </c>
      <c r="N267" s="8"/>
      <c r="O267" s="17"/>
      <c r="P267" s="8"/>
      <c r="Q267" s="16"/>
    </row>
    <row r="268" spans="3:17" ht="11.25" customHeight="1" x14ac:dyDescent="0.2">
      <c r="C268" s="8">
        <v>4</v>
      </c>
      <c r="D268" s="8">
        <v>60</v>
      </c>
      <c r="E268" s="9" t="s">
        <v>20</v>
      </c>
      <c r="F268" s="10" t="s">
        <v>22</v>
      </c>
      <c r="G268" s="10"/>
      <c r="H268" s="8">
        <v>10.99242016</v>
      </c>
      <c r="I268" s="25">
        <v>0.12417408691171733</v>
      </c>
      <c r="J268" s="11"/>
      <c r="K268" s="12"/>
      <c r="L268" s="8">
        <v>691100.91999999993</v>
      </c>
      <c r="M268" s="36">
        <v>9.2135285024355325E-4</v>
      </c>
      <c r="N268" s="8"/>
      <c r="O268" s="17"/>
      <c r="P268" s="8"/>
      <c r="Q268" s="16"/>
    </row>
    <row r="269" spans="3:17" ht="11.25" customHeight="1" x14ac:dyDescent="0.2">
      <c r="C269" s="8">
        <v>4</v>
      </c>
      <c r="D269" s="8">
        <v>60</v>
      </c>
      <c r="E269" s="9" t="s">
        <v>21</v>
      </c>
      <c r="F269" s="10" t="s">
        <v>22</v>
      </c>
      <c r="G269" s="10"/>
      <c r="H269" s="8">
        <v>12.896372270000001</v>
      </c>
      <c r="I269" s="25">
        <v>0.11917408691171733</v>
      </c>
      <c r="J269" s="11"/>
      <c r="K269" s="12"/>
      <c r="L269" s="8">
        <v>317452.09999999998</v>
      </c>
      <c r="M269" s="36">
        <v>4.2321662247360561E-4</v>
      </c>
      <c r="N269" s="8"/>
      <c r="O269" s="17"/>
      <c r="P269" s="8"/>
      <c r="Q269" s="16"/>
    </row>
    <row r="270" spans="3:17" ht="11.25" customHeight="1" x14ac:dyDescent="0.2">
      <c r="C270" s="8">
        <v>4</v>
      </c>
      <c r="D270" s="8">
        <v>60</v>
      </c>
      <c r="E270" s="9" t="s">
        <v>14</v>
      </c>
      <c r="F270" s="10" t="s">
        <v>24</v>
      </c>
      <c r="G270" s="10"/>
      <c r="H270" s="8">
        <v>14.98</v>
      </c>
      <c r="I270" s="25">
        <v>0.14917408691171732</v>
      </c>
      <c r="J270" s="11"/>
      <c r="K270" s="12"/>
      <c r="L270" s="8">
        <v>57959.32</v>
      </c>
      <c r="M270" s="36">
        <v>7.7269445221080281E-5</v>
      </c>
      <c r="N270" s="8"/>
      <c r="O270" s="17"/>
      <c r="P270" s="8"/>
      <c r="Q270" s="16"/>
    </row>
    <row r="271" spans="3:17" ht="11.25" customHeight="1" x14ac:dyDescent="0.2">
      <c r="C271" s="8">
        <v>4</v>
      </c>
      <c r="D271" s="8">
        <v>60</v>
      </c>
      <c r="E271" s="9" t="s">
        <v>17</v>
      </c>
      <c r="F271" s="10" t="s">
        <v>24</v>
      </c>
      <c r="G271" s="10"/>
      <c r="H271" s="8">
        <v>17.27</v>
      </c>
      <c r="I271" s="25">
        <v>0.13917408691171734</v>
      </c>
      <c r="J271" s="11"/>
      <c r="K271" s="12"/>
      <c r="L271" s="8">
        <v>26803.18</v>
      </c>
      <c r="M271" s="36">
        <v>3.5733111581722403E-5</v>
      </c>
      <c r="N271" s="8"/>
      <c r="O271" s="17"/>
      <c r="P271" s="8"/>
      <c r="Q271" s="16"/>
    </row>
    <row r="272" spans="3:17" ht="11.25" customHeight="1" x14ac:dyDescent="0.2">
      <c r="C272" s="8">
        <v>4</v>
      </c>
      <c r="D272" s="8">
        <v>60</v>
      </c>
      <c r="E272" s="9" t="s">
        <v>14</v>
      </c>
      <c r="F272" s="10" t="s">
        <v>23</v>
      </c>
      <c r="G272" s="10"/>
      <c r="H272" s="8">
        <v>17.963185320000001</v>
      </c>
      <c r="I272" s="25">
        <v>0.13917408691171734</v>
      </c>
      <c r="J272" s="11"/>
      <c r="K272" s="12"/>
      <c r="L272" s="8">
        <v>4845051.1300000008</v>
      </c>
      <c r="M272" s="36">
        <v>6.4592616490819453E-3</v>
      </c>
      <c r="N272" s="8"/>
      <c r="O272" s="17"/>
      <c r="P272" s="8"/>
      <c r="Q272" s="16"/>
    </row>
    <row r="273" spans="3:17" ht="11.25" customHeight="1" x14ac:dyDescent="0.2">
      <c r="C273" s="8">
        <v>4</v>
      </c>
      <c r="D273" s="8">
        <v>60</v>
      </c>
      <c r="E273" s="9" t="s">
        <v>16</v>
      </c>
      <c r="F273" s="10" t="s">
        <v>23</v>
      </c>
      <c r="G273" s="10"/>
      <c r="H273" s="8">
        <v>17.46287147</v>
      </c>
      <c r="I273" s="25">
        <v>0.13417408691171734</v>
      </c>
      <c r="J273" s="11"/>
      <c r="K273" s="12"/>
      <c r="L273" s="8">
        <v>5301282.0299999993</v>
      </c>
      <c r="M273" s="36">
        <v>7.067493569948409E-3</v>
      </c>
      <c r="N273" s="8"/>
      <c r="O273" s="17"/>
      <c r="P273" s="8"/>
      <c r="Q273" s="16"/>
    </row>
    <row r="274" spans="3:17" ht="11.25" customHeight="1" x14ac:dyDescent="0.2">
      <c r="C274" s="8">
        <v>4</v>
      </c>
      <c r="D274" s="8">
        <v>60</v>
      </c>
      <c r="E274" s="9" t="s">
        <v>17</v>
      </c>
      <c r="F274" s="10" t="s">
        <v>23</v>
      </c>
      <c r="G274" s="10"/>
      <c r="H274" s="8">
        <v>16.764737849999999</v>
      </c>
      <c r="I274" s="25">
        <v>0.12917408691171733</v>
      </c>
      <c r="J274" s="11"/>
      <c r="K274" s="12"/>
      <c r="L274" s="8">
        <v>4523856.0999999996</v>
      </c>
      <c r="M274" s="36">
        <v>6.0310550763362962E-3</v>
      </c>
      <c r="N274" s="8"/>
      <c r="O274" s="17"/>
      <c r="P274" s="8"/>
      <c r="Q274" s="16"/>
    </row>
    <row r="275" spans="3:17" ht="11.25" customHeight="1" x14ac:dyDescent="0.2">
      <c r="C275" s="8">
        <v>4</v>
      </c>
      <c r="D275" s="8">
        <v>60</v>
      </c>
      <c r="E275" s="9" t="s">
        <v>18</v>
      </c>
      <c r="F275" s="10" t="s">
        <v>23</v>
      </c>
      <c r="H275" s="8">
        <v>16.826862080000001</v>
      </c>
      <c r="I275" s="25">
        <v>0.12417408691171733</v>
      </c>
      <c r="J275" s="12"/>
      <c r="K275" s="12"/>
      <c r="L275" s="8">
        <v>2725394.05</v>
      </c>
      <c r="M275" s="36">
        <v>3.6334050546544222E-3</v>
      </c>
      <c r="N275" s="8"/>
      <c r="O275" s="17"/>
      <c r="P275" s="8"/>
      <c r="Q275" s="16"/>
    </row>
    <row r="276" spans="3:17" ht="11.25" customHeight="1" x14ac:dyDescent="0.2">
      <c r="C276" s="8">
        <v>4</v>
      </c>
      <c r="D276" s="8">
        <v>60</v>
      </c>
      <c r="E276" s="9" t="s">
        <v>19</v>
      </c>
      <c r="F276" s="10" t="s">
        <v>23</v>
      </c>
      <c r="H276" s="8">
        <v>15.808053599999999</v>
      </c>
      <c r="I276" s="25">
        <v>0.11917408691171733</v>
      </c>
      <c r="J276" s="12"/>
      <c r="K276" s="12"/>
      <c r="L276" s="8">
        <v>1636812.15</v>
      </c>
      <c r="M276" s="36">
        <v>2.1821437304927601E-3</v>
      </c>
      <c r="N276" s="8"/>
      <c r="O276" s="17"/>
      <c r="P276" s="8"/>
      <c r="Q276" s="16"/>
    </row>
    <row r="277" spans="3:17" ht="11.25" customHeight="1" x14ac:dyDescent="0.2">
      <c r="C277" s="8">
        <v>4</v>
      </c>
      <c r="D277" s="8">
        <v>60</v>
      </c>
      <c r="E277" s="9" t="s">
        <v>20</v>
      </c>
      <c r="F277" s="10" t="s">
        <v>23</v>
      </c>
      <c r="H277" s="8">
        <v>15.654858000000001</v>
      </c>
      <c r="I277" s="25">
        <v>0.11417408691171733</v>
      </c>
      <c r="J277" s="12"/>
      <c r="K277" s="12"/>
      <c r="L277" s="8">
        <v>795973.37</v>
      </c>
      <c r="M277" s="36">
        <v>1.061165326140018E-3</v>
      </c>
      <c r="N277" s="8"/>
      <c r="O277" s="17"/>
      <c r="P277" s="8"/>
      <c r="Q277" s="16"/>
    </row>
    <row r="278" spans="3:17" ht="11.25" customHeight="1" x14ac:dyDescent="0.2">
      <c r="C278" s="8">
        <v>4</v>
      </c>
      <c r="D278" s="8">
        <v>60</v>
      </c>
      <c r="E278" s="9" t="s">
        <v>21</v>
      </c>
      <c r="F278" s="10" t="s">
        <v>23</v>
      </c>
      <c r="H278" s="8">
        <v>15.218614860000001</v>
      </c>
      <c r="I278" s="25">
        <v>0.10917408691171733</v>
      </c>
      <c r="J278" s="12"/>
      <c r="K278" s="12"/>
      <c r="L278" s="8">
        <v>495630.42</v>
      </c>
      <c r="M278" s="36">
        <v>6.6075805561712961E-4</v>
      </c>
      <c r="N278" s="8"/>
      <c r="O278" s="17"/>
      <c r="P278" s="8"/>
      <c r="Q278" s="16"/>
    </row>
    <row r="279" spans="3:17" ht="11.25" customHeight="1" x14ac:dyDescent="0.2">
      <c r="C279" s="8">
        <v>4</v>
      </c>
      <c r="D279" s="8">
        <v>72</v>
      </c>
      <c r="E279" s="9" t="s">
        <v>14</v>
      </c>
      <c r="F279" s="10" t="s">
        <v>22</v>
      </c>
      <c r="H279" s="8">
        <v>15.52904148</v>
      </c>
      <c r="I279" s="25">
        <v>0.16528584514621827</v>
      </c>
      <c r="J279" s="12"/>
      <c r="K279" s="12"/>
      <c r="L279" s="8">
        <v>388021.56</v>
      </c>
      <c r="M279" s="36">
        <v>5.1729748856643102E-4</v>
      </c>
      <c r="N279" s="8"/>
      <c r="O279" s="17"/>
      <c r="P279" s="8"/>
      <c r="Q279" s="16"/>
    </row>
    <row r="280" spans="3:17" ht="11.25" customHeight="1" x14ac:dyDescent="0.2">
      <c r="C280" s="8">
        <v>4</v>
      </c>
      <c r="D280" s="8">
        <v>72</v>
      </c>
      <c r="E280" s="9" t="s">
        <v>16</v>
      </c>
      <c r="F280" s="10" t="s">
        <v>22</v>
      </c>
      <c r="H280" s="8">
        <v>14.520587559999999</v>
      </c>
      <c r="I280" s="25">
        <v>0.16028584514621827</v>
      </c>
      <c r="J280" s="12"/>
      <c r="K280" s="12"/>
      <c r="L280" s="8">
        <v>426411.29</v>
      </c>
      <c r="M280" s="36">
        <v>5.6847740474362323E-4</v>
      </c>
      <c r="N280" s="8"/>
      <c r="O280" s="17"/>
      <c r="P280" s="8"/>
      <c r="Q280" s="16"/>
    </row>
    <row r="281" spans="3:17" ht="11.25" customHeight="1" x14ac:dyDescent="0.2">
      <c r="C281" s="8">
        <v>4</v>
      </c>
      <c r="D281" s="8">
        <v>72</v>
      </c>
      <c r="E281" s="9" t="s">
        <v>17</v>
      </c>
      <c r="F281" s="10" t="s">
        <v>22</v>
      </c>
      <c r="H281" s="8">
        <v>13.52950418</v>
      </c>
      <c r="I281" s="25">
        <v>0.15528584514621827</v>
      </c>
      <c r="J281" s="12"/>
      <c r="K281" s="12"/>
      <c r="L281" s="8">
        <v>460095.09</v>
      </c>
      <c r="M281" s="36">
        <v>6.1338353095314094E-4</v>
      </c>
      <c r="N281" s="8"/>
      <c r="O281" s="17"/>
      <c r="P281" s="8"/>
      <c r="Q281" s="16"/>
    </row>
    <row r="282" spans="3:17" ht="11.25" customHeight="1" x14ac:dyDescent="0.2">
      <c r="C282" s="8">
        <v>4</v>
      </c>
      <c r="D282" s="8">
        <v>72</v>
      </c>
      <c r="E282" s="9" t="s">
        <v>18</v>
      </c>
      <c r="F282" s="10" t="s">
        <v>22</v>
      </c>
      <c r="H282" s="8">
        <v>13.447202669999999</v>
      </c>
      <c r="I282" s="25">
        <v>0.15028584514621826</v>
      </c>
      <c r="J282" s="12"/>
      <c r="K282" s="12"/>
      <c r="L282" s="8">
        <v>502484.83</v>
      </c>
      <c r="M282" s="36">
        <v>6.6989612794126697E-4</v>
      </c>
      <c r="N282" s="8"/>
      <c r="O282" s="17"/>
      <c r="P282" s="8"/>
      <c r="Q282" s="16"/>
    </row>
    <row r="283" spans="3:17" ht="11.25" customHeight="1" x14ac:dyDescent="0.2">
      <c r="C283" s="8">
        <v>4</v>
      </c>
      <c r="D283" s="8">
        <v>72</v>
      </c>
      <c r="E283" s="9" t="s">
        <v>19</v>
      </c>
      <c r="F283" s="10" t="s">
        <v>22</v>
      </c>
      <c r="H283" s="8">
        <v>13.44103636</v>
      </c>
      <c r="I283" s="25">
        <v>0.14528584514621826</v>
      </c>
      <c r="J283" s="12"/>
      <c r="K283" s="12"/>
      <c r="L283" s="8">
        <v>79772.97</v>
      </c>
      <c r="M283" s="36">
        <v>1.063506807108482E-4</v>
      </c>
      <c r="N283" s="8"/>
      <c r="O283" s="17"/>
      <c r="P283" s="8"/>
      <c r="Q283" s="16"/>
    </row>
    <row r="284" spans="3:17" ht="11.25" customHeight="1" x14ac:dyDescent="0.2">
      <c r="C284" s="8">
        <v>4</v>
      </c>
      <c r="D284" s="8">
        <v>72</v>
      </c>
      <c r="E284" s="9" t="s">
        <v>20</v>
      </c>
      <c r="F284" s="10" t="s">
        <v>22</v>
      </c>
      <c r="H284" s="8">
        <v>13.00023182</v>
      </c>
      <c r="I284" s="25">
        <v>0.14028584514621825</v>
      </c>
      <c r="J284" s="12"/>
      <c r="K284" s="12"/>
      <c r="L284" s="8">
        <v>71930.59</v>
      </c>
      <c r="M284" s="36">
        <v>9.5895479514338409E-5</v>
      </c>
      <c r="N284" s="8"/>
      <c r="O284" s="17"/>
      <c r="P284" s="8"/>
      <c r="Q284" s="16"/>
    </row>
    <row r="285" spans="3:17" ht="11.25" customHeight="1" x14ac:dyDescent="0.2">
      <c r="C285" s="8">
        <v>4</v>
      </c>
      <c r="D285" s="8">
        <v>72</v>
      </c>
      <c r="E285" s="9" t="s">
        <v>21</v>
      </c>
      <c r="F285" s="10" t="s">
        <v>22</v>
      </c>
      <c r="H285" s="8">
        <v>13.16848725</v>
      </c>
      <c r="I285" s="25">
        <v>0.13528584514621828</v>
      </c>
      <c r="J285" s="12"/>
      <c r="K285" s="12"/>
      <c r="L285" s="8">
        <v>60939.87</v>
      </c>
      <c r="M285" s="36">
        <v>8.1243015734911198E-5</v>
      </c>
      <c r="N285" s="8"/>
      <c r="O285" s="17"/>
      <c r="P285" s="8"/>
      <c r="Q285" s="16"/>
    </row>
    <row r="286" spans="3:17" ht="11.25" customHeight="1" x14ac:dyDescent="0.2">
      <c r="C286" s="8">
        <v>4</v>
      </c>
      <c r="D286" s="8">
        <v>72</v>
      </c>
      <c r="E286" s="9" t="s">
        <v>14</v>
      </c>
      <c r="F286" s="10" t="s">
        <v>23</v>
      </c>
      <c r="H286" s="8">
        <v>19.507180229999999</v>
      </c>
      <c r="I286" s="25">
        <v>0.15528584514621827</v>
      </c>
      <c r="J286" s="12"/>
      <c r="K286" s="12"/>
      <c r="L286" s="8">
        <v>500229.24</v>
      </c>
      <c r="M286" s="36">
        <v>6.6688905008137811E-4</v>
      </c>
      <c r="N286" s="8"/>
      <c r="O286" s="17"/>
      <c r="P286" s="8"/>
      <c r="Q286" s="16"/>
    </row>
    <row r="287" spans="3:17" ht="11.25" customHeight="1" x14ac:dyDescent="0.2">
      <c r="C287" s="8">
        <v>4</v>
      </c>
      <c r="D287" s="8">
        <v>72</v>
      </c>
      <c r="E287" s="9" t="s">
        <v>16</v>
      </c>
      <c r="F287" s="10" t="s">
        <v>23</v>
      </c>
      <c r="H287" s="8">
        <v>19.105742419999999</v>
      </c>
      <c r="I287" s="25">
        <v>0.15028584514621826</v>
      </c>
      <c r="J287" s="12"/>
      <c r="K287" s="12"/>
      <c r="L287" s="8">
        <v>803495.00999999989</v>
      </c>
      <c r="M287" s="36">
        <v>1.071192927394703E-3</v>
      </c>
      <c r="N287" s="8"/>
      <c r="O287" s="17"/>
      <c r="P287" s="8"/>
      <c r="Q287" s="16"/>
    </row>
    <row r="288" spans="3:17" ht="11.25" customHeight="1" x14ac:dyDescent="0.2">
      <c r="C288" s="8">
        <v>4</v>
      </c>
      <c r="D288" s="8">
        <v>72</v>
      </c>
      <c r="E288" s="9" t="s">
        <v>17</v>
      </c>
      <c r="F288" s="10" t="s">
        <v>23</v>
      </c>
      <c r="H288" s="8">
        <v>17.023738850000001</v>
      </c>
      <c r="I288" s="25">
        <v>0.14528584514621826</v>
      </c>
      <c r="J288" s="12"/>
      <c r="K288" s="12"/>
      <c r="L288" s="8">
        <v>777567.5</v>
      </c>
      <c r="M288" s="36">
        <v>1.036627230045873E-3</v>
      </c>
      <c r="N288" s="8"/>
      <c r="O288" s="17"/>
      <c r="P288" s="8"/>
      <c r="Q288" s="16"/>
    </row>
    <row r="289" spans="3:17" ht="11.25" customHeight="1" x14ac:dyDescent="0.2">
      <c r="C289" s="8">
        <v>4</v>
      </c>
      <c r="D289" s="8">
        <v>72</v>
      </c>
      <c r="E289" s="9" t="s">
        <v>18</v>
      </c>
      <c r="F289" s="10" t="s">
        <v>23</v>
      </c>
      <c r="H289" s="8">
        <v>17.895703869999998</v>
      </c>
      <c r="I289" s="25">
        <v>0.14028584514621825</v>
      </c>
      <c r="J289" s="12"/>
      <c r="K289" s="12"/>
      <c r="L289" s="8">
        <v>596951.18999999994</v>
      </c>
      <c r="M289" s="36">
        <v>7.9583554940540501E-4</v>
      </c>
      <c r="N289" s="8"/>
      <c r="O289" s="17"/>
      <c r="P289" s="8"/>
      <c r="Q289" s="16"/>
    </row>
    <row r="290" spans="3:17" ht="11.25" customHeight="1" x14ac:dyDescent="0.2">
      <c r="C290" s="8">
        <v>4</v>
      </c>
      <c r="D290" s="8">
        <v>72</v>
      </c>
      <c r="E290" s="9" t="s">
        <v>19</v>
      </c>
      <c r="F290" s="10" t="s">
        <v>23</v>
      </c>
      <c r="H290" s="8">
        <v>16.525030860000001</v>
      </c>
      <c r="I290" s="25">
        <v>0.13528584514621828</v>
      </c>
      <c r="J290" s="12"/>
      <c r="K290" s="12"/>
      <c r="L290" s="8">
        <v>214867.87</v>
      </c>
      <c r="M290" s="36">
        <v>2.8645472567199201E-4</v>
      </c>
      <c r="N290" s="8"/>
      <c r="O290" s="17"/>
      <c r="P290" s="8"/>
      <c r="Q290" s="16"/>
    </row>
    <row r="291" spans="3:17" ht="11.25" customHeight="1" x14ac:dyDescent="0.2">
      <c r="C291" s="8">
        <v>4</v>
      </c>
      <c r="D291" s="8">
        <v>72</v>
      </c>
      <c r="E291" s="9" t="s">
        <v>20</v>
      </c>
      <c r="F291" s="10" t="s">
        <v>23</v>
      </c>
      <c r="H291" s="8">
        <v>15.79</v>
      </c>
      <c r="I291" s="25">
        <v>0.13028584514621827</v>
      </c>
      <c r="J291" s="12"/>
      <c r="K291" s="12"/>
      <c r="L291" s="8">
        <v>9209.7800000000007</v>
      </c>
      <c r="M291" s="36">
        <v>1.227817357429661E-5</v>
      </c>
      <c r="N291" s="8"/>
      <c r="O291" s="17"/>
      <c r="P291" s="8"/>
      <c r="Q291" s="16"/>
    </row>
    <row r="292" spans="3:17" ht="11.25" customHeight="1" x14ac:dyDescent="0.2">
      <c r="C292" s="8">
        <v>4</v>
      </c>
      <c r="D292" s="8">
        <v>72</v>
      </c>
      <c r="E292" s="9" t="s">
        <v>21</v>
      </c>
      <c r="F292" s="10" t="s">
        <v>23</v>
      </c>
      <c r="H292" s="8">
        <v>15.69486266</v>
      </c>
      <c r="I292" s="25">
        <v>0.12528584514621827</v>
      </c>
      <c r="J292" s="12"/>
      <c r="K292" s="12"/>
      <c r="L292" s="8">
        <v>39959.850000000013</v>
      </c>
      <c r="M292" s="36">
        <v>5.3273148142828188E-5</v>
      </c>
      <c r="N292" s="8"/>
      <c r="O292" s="17"/>
      <c r="P292" s="8"/>
      <c r="Q292" s="16"/>
    </row>
    <row r="293" spans="3:17" ht="11.25" customHeight="1" x14ac:dyDescent="0.2">
      <c r="C293" s="32">
        <v>4</v>
      </c>
      <c r="D293" s="32">
        <v>84</v>
      </c>
      <c r="E293" s="32" t="s">
        <v>14</v>
      </c>
      <c r="F293" s="33" t="s">
        <v>22</v>
      </c>
      <c r="H293" s="33">
        <v>15.80970784</v>
      </c>
      <c r="I293" s="51">
        <v>0.21061985821426074</v>
      </c>
      <c r="L293">
        <v>1547173.44</v>
      </c>
      <c r="M293" s="38">
        <v>2.062640372067691E-3</v>
      </c>
      <c r="N293" s="34"/>
      <c r="O293" s="35"/>
      <c r="P293" s="35"/>
      <c r="Q293" s="16"/>
    </row>
    <row r="294" spans="3:17" ht="11.25" customHeight="1" x14ac:dyDescent="0.2">
      <c r="C294" s="32">
        <v>4</v>
      </c>
      <c r="D294" s="32">
        <v>84</v>
      </c>
      <c r="E294" s="32" t="s">
        <v>16</v>
      </c>
      <c r="F294" s="33" t="s">
        <v>22</v>
      </c>
      <c r="H294" s="33">
        <v>15.585087469999999</v>
      </c>
      <c r="I294" s="51">
        <v>0.20561985821426074</v>
      </c>
      <c r="L294">
        <v>1550196.16</v>
      </c>
      <c r="M294" s="38">
        <v>2.0666701622284209E-3</v>
      </c>
      <c r="N294" s="34"/>
      <c r="O294" s="35"/>
      <c r="P294" s="35"/>
      <c r="Q294" s="16"/>
    </row>
    <row r="295" spans="3:17" ht="11.25" customHeight="1" x14ac:dyDescent="0.2">
      <c r="C295" s="32">
        <v>4</v>
      </c>
      <c r="D295" s="32">
        <v>84</v>
      </c>
      <c r="E295" s="32" t="s">
        <v>17</v>
      </c>
      <c r="F295" s="33" t="s">
        <v>22</v>
      </c>
      <c r="H295" s="33">
        <v>14.996108339999999</v>
      </c>
      <c r="I295" s="51">
        <v>0.20061985821426073</v>
      </c>
      <c r="L295">
        <v>1703664.31</v>
      </c>
      <c r="M295" s="38">
        <v>2.271268815380418E-3</v>
      </c>
      <c r="N295" s="34"/>
      <c r="O295" s="35"/>
      <c r="P295" s="35"/>
      <c r="Q295" s="16"/>
    </row>
    <row r="296" spans="3:17" ht="11.25" customHeight="1" x14ac:dyDescent="0.2">
      <c r="C296" s="32">
        <v>4</v>
      </c>
      <c r="D296" s="32">
        <v>84</v>
      </c>
      <c r="E296" s="32" t="s">
        <v>18</v>
      </c>
      <c r="F296" s="33" t="s">
        <v>22</v>
      </c>
      <c r="H296" s="33">
        <v>13.853442340000001</v>
      </c>
      <c r="I296" s="51">
        <v>0.19561985821426073</v>
      </c>
      <c r="L296">
        <v>1545276.25</v>
      </c>
      <c r="M296" s="38">
        <v>2.0601111012139438E-3</v>
      </c>
      <c r="N296" s="34"/>
      <c r="O296" s="35"/>
      <c r="P296" s="35"/>
      <c r="Q296" s="16"/>
    </row>
    <row r="297" spans="3:17" ht="11.25" customHeight="1" x14ac:dyDescent="0.2">
      <c r="C297" s="32">
        <v>4</v>
      </c>
      <c r="D297" s="32">
        <v>84</v>
      </c>
      <c r="E297" s="32" t="s">
        <v>19</v>
      </c>
      <c r="F297" s="33" t="s">
        <v>22</v>
      </c>
      <c r="H297" s="33">
        <v>13.48943098</v>
      </c>
      <c r="I297" s="51">
        <v>0.19061985821426075</v>
      </c>
      <c r="L297">
        <v>917425.06999999983</v>
      </c>
      <c r="M297" s="38">
        <v>1.2230807088628841E-3</v>
      </c>
      <c r="N297" s="34"/>
      <c r="O297" s="35"/>
      <c r="P297" s="35"/>
      <c r="Q297" s="16"/>
    </row>
    <row r="298" spans="3:17" ht="11.25" customHeight="1" x14ac:dyDescent="0.2">
      <c r="C298" s="32">
        <v>4</v>
      </c>
      <c r="D298" s="32">
        <v>84</v>
      </c>
      <c r="E298" s="32" t="s">
        <v>20</v>
      </c>
      <c r="F298" s="33" t="s">
        <v>22</v>
      </c>
      <c r="H298" s="33">
        <v>13.661002229999999</v>
      </c>
      <c r="I298" s="51">
        <v>0.18561985821426075</v>
      </c>
      <c r="L298">
        <v>631350.97</v>
      </c>
      <c r="M298" s="38">
        <v>8.4169619643037388E-4</v>
      </c>
      <c r="N298" s="34"/>
      <c r="O298" s="35"/>
      <c r="P298" s="35"/>
      <c r="Q298" s="16"/>
    </row>
    <row r="299" spans="3:17" ht="11.25" customHeight="1" x14ac:dyDescent="0.2">
      <c r="C299" s="32">
        <v>4</v>
      </c>
      <c r="D299" s="32">
        <v>84</v>
      </c>
      <c r="E299" s="32" t="s">
        <v>21</v>
      </c>
      <c r="F299" s="33" t="s">
        <v>22</v>
      </c>
      <c r="H299" s="33">
        <v>12.920756089999999</v>
      </c>
      <c r="I299" s="51">
        <v>0.18061985821426074</v>
      </c>
      <c r="L299">
        <v>377261.78999999992</v>
      </c>
      <c r="M299" s="38">
        <v>5.0295291967558772E-4</v>
      </c>
      <c r="N299" s="34"/>
      <c r="O299" s="35"/>
      <c r="P299" s="35"/>
      <c r="Q299" s="16"/>
    </row>
    <row r="300" spans="3:17" ht="11.25" customHeight="1" x14ac:dyDescent="0.2">
      <c r="C300" s="32">
        <v>4</v>
      </c>
      <c r="D300" s="32">
        <v>84</v>
      </c>
      <c r="E300" s="32" t="s">
        <v>20</v>
      </c>
      <c r="F300" s="33" t="s">
        <v>24</v>
      </c>
      <c r="H300" s="33">
        <v>14.18</v>
      </c>
      <c r="I300" s="51">
        <v>0.18561985821426075</v>
      </c>
      <c r="L300">
        <v>41148.17</v>
      </c>
      <c r="M300" s="38">
        <v>5.4857376997568268E-5</v>
      </c>
      <c r="N300" s="34"/>
      <c r="O300" s="35"/>
      <c r="P300" s="35"/>
      <c r="Q300" s="16"/>
    </row>
    <row r="301" spans="3:17" ht="11.25" customHeight="1" x14ac:dyDescent="0.2">
      <c r="C301" s="32">
        <v>4</v>
      </c>
      <c r="D301" s="32">
        <v>84</v>
      </c>
      <c r="E301" s="32" t="s">
        <v>14</v>
      </c>
      <c r="F301" s="33" t="s">
        <v>23</v>
      </c>
      <c r="H301" s="33">
        <v>20.517657870000001</v>
      </c>
      <c r="I301" s="51">
        <v>0.20061985821426073</v>
      </c>
      <c r="L301">
        <v>2607307.0499999998</v>
      </c>
      <c r="M301" s="38">
        <v>3.4759753784984258E-3</v>
      </c>
      <c r="N301" s="34"/>
      <c r="O301" s="35"/>
      <c r="P301" s="35"/>
      <c r="Q301" s="16"/>
    </row>
    <row r="302" spans="3:17" ht="11.25" customHeight="1" x14ac:dyDescent="0.2">
      <c r="C302" s="32">
        <v>4</v>
      </c>
      <c r="D302" s="32">
        <v>84</v>
      </c>
      <c r="E302" s="32" t="s">
        <v>16</v>
      </c>
      <c r="F302" s="33" t="s">
        <v>23</v>
      </c>
      <c r="H302" s="33">
        <v>20.292025339999999</v>
      </c>
      <c r="I302" s="51">
        <v>0.19561985821426073</v>
      </c>
      <c r="L302">
        <v>2864512.58</v>
      </c>
      <c r="M302" s="38">
        <v>3.8188732698279642E-3</v>
      </c>
      <c r="N302" s="34"/>
      <c r="O302" s="35"/>
      <c r="P302" s="35"/>
      <c r="Q302" s="16"/>
    </row>
    <row r="303" spans="3:17" ht="11.25" customHeight="1" x14ac:dyDescent="0.2">
      <c r="C303" s="32">
        <v>4</v>
      </c>
      <c r="D303" s="32">
        <v>84</v>
      </c>
      <c r="E303" s="32" t="s">
        <v>17</v>
      </c>
      <c r="F303" s="33" t="s">
        <v>23</v>
      </c>
      <c r="H303" s="33">
        <v>19.15856131</v>
      </c>
      <c r="I303" s="51">
        <v>0.19061985821426075</v>
      </c>
      <c r="L303">
        <v>2716230.85</v>
      </c>
      <c r="M303" s="38">
        <v>3.621188979992921E-3</v>
      </c>
      <c r="N303" s="34"/>
      <c r="O303" s="35"/>
      <c r="P303" s="35"/>
      <c r="Q303" s="16"/>
    </row>
    <row r="304" spans="3:17" ht="11.25" customHeight="1" x14ac:dyDescent="0.2">
      <c r="C304" s="32">
        <v>4</v>
      </c>
      <c r="D304" s="32">
        <v>84</v>
      </c>
      <c r="E304" s="32" t="s">
        <v>18</v>
      </c>
      <c r="F304" s="33" t="s">
        <v>23</v>
      </c>
      <c r="H304" s="33">
        <v>19.62951799</v>
      </c>
      <c r="I304" s="51">
        <v>0.18561985821426075</v>
      </c>
      <c r="L304">
        <v>1743292.54</v>
      </c>
      <c r="M304" s="38">
        <v>2.3240998587258769E-3</v>
      </c>
      <c r="N304" s="34"/>
      <c r="O304" s="35"/>
      <c r="P304" s="35"/>
      <c r="Q304" s="16"/>
    </row>
    <row r="305" spans="3:17" ht="11.25" customHeight="1" x14ac:dyDescent="0.2">
      <c r="C305" s="32">
        <v>4</v>
      </c>
      <c r="D305" s="32">
        <v>84</v>
      </c>
      <c r="E305" s="32" t="s">
        <v>19</v>
      </c>
      <c r="F305" s="33" t="s">
        <v>23</v>
      </c>
      <c r="H305" s="33">
        <v>18.71487617</v>
      </c>
      <c r="I305" s="51">
        <v>0.18061985821426074</v>
      </c>
      <c r="L305">
        <v>788315.55</v>
      </c>
      <c r="M305" s="38">
        <v>1.0509561742210009E-3</v>
      </c>
      <c r="N305" s="34"/>
      <c r="O305" s="35"/>
      <c r="P305" s="35"/>
      <c r="Q305" s="16"/>
    </row>
    <row r="306" spans="3:17" ht="11.25" customHeight="1" x14ac:dyDescent="0.2">
      <c r="C306" s="32">
        <v>4</v>
      </c>
      <c r="D306" s="32">
        <v>84</v>
      </c>
      <c r="E306" s="32" t="s">
        <v>20</v>
      </c>
      <c r="F306" s="33" t="s">
        <v>23</v>
      </c>
      <c r="H306" s="33">
        <v>18.543447489999998</v>
      </c>
      <c r="I306" s="51">
        <v>0.17561985821426074</v>
      </c>
      <c r="L306">
        <v>428102.39</v>
      </c>
      <c r="M306" s="38">
        <v>5.7073192323716954E-4</v>
      </c>
      <c r="N306" s="34"/>
      <c r="O306" s="35"/>
      <c r="P306" s="35"/>
      <c r="Q306" s="16"/>
    </row>
    <row r="307" spans="3:17" ht="11.25" customHeight="1" x14ac:dyDescent="0.2">
      <c r="C307" s="32">
        <v>4</v>
      </c>
      <c r="D307" s="32">
        <v>84</v>
      </c>
      <c r="E307" s="32" t="s">
        <v>21</v>
      </c>
      <c r="F307" s="33" t="s">
        <v>23</v>
      </c>
      <c r="H307" s="33">
        <v>19.032421070000002</v>
      </c>
      <c r="I307" s="51">
        <v>0.17061985821426073</v>
      </c>
      <c r="L307">
        <v>162252.37</v>
      </c>
      <c r="M307" s="38">
        <v>2.1630948423317331E-4</v>
      </c>
      <c r="N307" s="34"/>
      <c r="O307" s="35"/>
      <c r="P307" s="35"/>
      <c r="Q307" s="16"/>
    </row>
    <row r="308" spans="3:17" ht="11.25" customHeight="1" x14ac:dyDescent="0.2">
      <c r="C308" s="32">
        <v>5</v>
      </c>
      <c r="D308" s="32">
        <v>24</v>
      </c>
      <c r="E308" s="32" t="s">
        <v>14</v>
      </c>
      <c r="F308" s="33" t="s">
        <v>22</v>
      </c>
      <c r="H308" s="33">
        <v>10.361137879999999</v>
      </c>
      <c r="I308" s="51">
        <v>6.9182651680372839E-2</v>
      </c>
      <c r="L308">
        <v>415908.87</v>
      </c>
      <c r="M308" s="38">
        <v>5.5447592634672732E-4</v>
      </c>
      <c r="N308" s="34"/>
      <c r="O308" s="35"/>
      <c r="P308" s="35"/>
      <c r="Q308" s="16"/>
    </row>
    <row r="309" spans="3:17" ht="11.25" customHeight="1" x14ac:dyDescent="0.2">
      <c r="C309" s="32">
        <v>5</v>
      </c>
      <c r="D309" s="32">
        <v>24</v>
      </c>
      <c r="E309" s="32" t="s">
        <v>16</v>
      </c>
      <c r="F309" s="33" t="s">
        <v>22</v>
      </c>
      <c r="H309" s="33">
        <v>11.52419869</v>
      </c>
      <c r="I309" s="51">
        <v>6.1682651680372833E-2</v>
      </c>
      <c r="L309">
        <v>400373.85</v>
      </c>
      <c r="M309" s="38">
        <v>5.3376515236079397E-4</v>
      </c>
      <c r="N309" s="34"/>
      <c r="O309" s="35"/>
      <c r="P309" s="35"/>
      <c r="Q309" s="16"/>
    </row>
    <row r="310" spans="3:17" ht="11.25" customHeight="1" x14ac:dyDescent="0.2">
      <c r="C310" s="32">
        <v>5</v>
      </c>
      <c r="D310" s="32">
        <v>24</v>
      </c>
      <c r="E310" s="32" t="s">
        <v>17</v>
      </c>
      <c r="F310" s="33" t="s">
        <v>22</v>
      </c>
      <c r="H310" s="33">
        <v>10.890431039999999</v>
      </c>
      <c r="I310" s="51">
        <v>5.4182651680372833E-2</v>
      </c>
      <c r="L310">
        <v>216098.56</v>
      </c>
      <c r="M310" s="38">
        <v>2.8809544080700622E-4</v>
      </c>
      <c r="N310" s="34"/>
      <c r="O310" s="35"/>
      <c r="P310" s="35"/>
      <c r="Q310" s="16"/>
    </row>
    <row r="311" spans="3:17" ht="11.25" customHeight="1" x14ac:dyDescent="0.2">
      <c r="C311" s="32">
        <v>5</v>
      </c>
      <c r="D311" s="32">
        <v>24</v>
      </c>
      <c r="E311" s="32" t="s">
        <v>18</v>
      </c>
      <c r="F311" s="33" t="s">
        <v>22</v>
      </c>
      <c r="H311" s="33">
        <v>10.002424599999999</v>
      </c>
      <c r="I311" s="51">
        <v>4.6682651680372833E-2</v>
      </c>
      <c r="L311">
        <v>84978.81</v>
      </c>
      <c r="M311" s="38">
        <v>1.132909341284126E-4</v>
      </c>
      <c r="N311" s="34"/>
      <c r="O311" s="35"/>
      <c r="P311" s="35"/>
      <c r="Q311" s="16"/>
    </row>
    <row r="312" spans="3:17" ht="11.25" customHeight="1" x14ac:dyDescent="0.2">
      <c r="C312" s="32">
        <v>5</v>
      </c>
      <c r="D312" s="32">
        <v>24</v>
      </c>
      <c r="E312" s="32" t="s">
        <v>19</v>
      </c>
      <c r="F312" s="33" t="s">
        <v>22</v>
      </c>
      <c r="H312" s="33">
        <v>6.9989463269999996</v>
      </c>
      <c r="I312" s="51">
        <v>3.9182651680372833E-2</v>
      </c>
      <c r="L312">
        <v>81954.240000000005</v>
      </c>
      <c r="M312" s="38">
        <v>1.0925867760897239E-4</v>
      </c>
      <c r="N312" s="34"/>
      <c r="O312" s="35"/>
      <c r="P312" s="35"/>
      <c r="Q312" s="16"/>
    </row>
    <row r="313" spans="3:17" ht="11.25" customHeight="1" x14ac:dyDescent="0.2">
      <c r="C313" s="32">
        <v>5</v>
      </c>
      <c r="D313" s="32">
        <v>24</v>
      </c>
      <c r="E313" s="32" t="s">
        <v>20</v>
      </c>
      <c r="F313" s="33" t="s">
        <v>22</v>
      </c>
      <c r="H313" s="33">
        <v>14.07</v>
      </c>
      <c r="I313" s="51">
        <v>3.1682651680372834E-2</v>
      </c>
      <c r="L313">
        <v>3722.22</v>
      </c>
      <c r="M313" s="38">
        <v>4.962340386167564E-6</v>
      </c>
      <c r="N313" s="34"/>
      <c r="O313" s="35"/>
      <c r="P313" s="35"/>
      <c r="Q313" s="16"/>
    </row>
    <row r="314" spans="3:17" ht="11.25" customHeight="1" x14ac:dyDescent="0.2">
      <c r="C314" s="32">
        <v>5</v>
      </c>
      <c r="D314" s="32">
        <v>24</v>
      </c>
      <c r="E314" s="32" t="s">
        <v>21</v>
      </c>
      <c r="F314" s="33" t="s">
        <v>22</v>
      </c>
      <c r="H314" s="33">
        <v>10.17636959</v>
      </c>
      <c r="I314" s="51">
        <v>2.4182651680372834E-2</v>
      </c>
      <c r="L314">
        <v>80801.94</v>
      </c>
      <c r="M314" s="38">
        <v>1.077224694248831E-4</v>
      </c>
      <c r="N314" s="34"/>
      <c r="O314" s="35"/>
      <c r="P314" s="35"/>
      <c r="Q314" s="16"/>
    </row>
    <row r="315" spans="3:17" ht="11.25" customHeight="1" x14ac:dyDescent="0.2">
      <c r="C315" s="32">
        <v>5</v>
      </c>
      <c r="D315" s="32">
        <v>24</v>
      </c>
      <c r="E315" s="32" t="s">
        <v>14</v>
      </c>
      <c r="F315" s="33" t="s">
        <v>23</v>
      </c>
      <c r="H315" s="33">
        <v>14.38921114</v>
      </c>
      <c r="I315" s="51">
        <v>4.9182651680372835E-2</v>
      </c>
      <c r="L315">
        <v>497312.37</v>
      </c>
      <c r="M315" s="38">
        <v>6.6300037563381709E-4</v>
      </c>
      <c r="N315" s="34"/>
      <c r="O315" s="35"/>
      <c r="P315" s="35"/>
      <c r="Q315" s="16"/>
    </row>
    <row r="316" spans="3:17" ht="11.25" customHeight="1" x14ac:dyDescent="0.2">
      <c r="C316" s="32">
        <v>5</v>
      </c>
      <c r="D316" s="32">
        <v>24</v>
      </c>
      <c r="E316" s="32" t="s">
        <v>16</v>
      </c>
      <c r="F316" s="33" t="s">
        <v>23</v>
      </c>
      <c r="H316" s="33">
        <v>14.35435028</v>
      </c>
      <c r="I316" s="51">
        <v>4.1682651680372836E-2</v>
      </c>
      <c r="L316">
        <v>734817.98</v>
      </c>
      <c r="M316" s="38">
        <v>9.7963498628132382E-4</v>
      </c>
      <c r="N316" s="34"/>
      <c r="O316" s="35"/>
      <c r="P316" s="35"/>
      <c r="Q316" s="16"/>
    </row>
    <row r="317" spans="3:17" ht="11.25" customHeight="1" x14ac:dyDescent="0.2">
      <c r="C317" s="32">
        <v>5</v>
      </c>
      <c r="D317" s="32">
        <v>24</v>
      </c>
      <c r="E317" s="32" t="s">
        <v>17</v>
      </c>
      <c r="F317" s="33" t="s">
        <v>23</v>
      </c>
      <c r="H317" s="33">
        <v>13.467294239999999</v>
      </c>
      <c r="I317" s="51">
        <v>3.4182651680372836E-2</v>
      </c>
      <c r="L317">
        <v>510386.2</v>
      </c>
      <c r="M317" s="38">
        <v>6.8042997265142736E-4</v>
      </c>
      <c r="N317" s="34"/>
      <c r="O317" s="35"/>
      <c r="P317" s="35"/>
      <c r="Q317" s="16"/>
    </row>
    <row r="318" spans="3:17" ht="11.25" customHeight="1" x14ac:dyDescent="0.2">
      <c r="C318" s="32">
        <v>5</v>
      </c>
      <c r="D318" s="32">
        <v>24</v>
      </c>
      <c r="E318" s="32" t="s">
        <v>18</v>
      </c>
      <c r="F318" s="33" t="s">
        <v>23</v>
      </c>
      <c r="H318" s="33">
        <v>13.23483712</v>
      </c>
      <c r="I318" s="51">
        <v>2.6682651680372836E-2</v>
      </c>
      <c r="L318">
        <v>234672.86</v>
      </c>
      <c r="M318" s="38">
        <v>3.1285808219703477E-4</v>
      </c>
      <c r="N318" s="34"/>
      <c r="O318" s="35"/>
      <c r="P318" s="35"/>
      <c r="Q318" s="16"/>
    </row>
    <row r="319" spans="3:17" ht="11.25" customHeight="1" x14ac:dyDescent="0.2">
      <c r="C319" s="32">
        <v>5</v>
      </c>
      <c r="D319" s="32">
        <v>24</v>
      </c>
      <c r="E319" s="32" t="s">
        <v>19</v>
      </c>
      <c r="F319" s="33" t="s">
        <v>23</v>
      </c>
      <c r="H319" s="33">
        <v>12.338260500000001</v>
      </c>
      <c r="I319" s="51">
        <v>1.9182651680372836E-2</v>
      </c>
      <c r="L319">
        <v>101653.46</v>
      </c>
      <c r="M319" s="38">
        <v>1.3552102507419469E-4</v>
      </c>
      <c r="N319" s="34"/>
      <c r="O319" s="35"/>
      <c r="P319" s="35"/>
      <c r="Q319" s="16"/>
    </row>
    <row r="320" spans="3:17" ht="11.25" customHeight="1" x14ac:dyDescent="0.2">
      <c r="C320" s="32">
        <v>5</v>
      </c>
      <c r="D320" s="32">
        <v>24</v>
      </c>
      <c r="E320" s="32" t="s">
        <v>20</v>
      </c>
      <c r="F320" s="33" t="s">
        <v>23</v>
      </c>
      <c r="H320" s="33">
        <v>15.168191999999999</v>
      </c>
      <c r="I320" s="51">
        <v>1.1682651680372835E-2</v>
      </c>
      <c r="L320">
        <v>115688.09</v>
      </c>
      <c r="M320" s="38">
        <v>1.542315288203244E-4</v>
      </c>
      <c r="N320" s="34"/>
      <c r="O320" s="35"/>
      <c r="P320" s="35"/>
      <c r="Q320" s="16"/>
    </row>
    <row r="321" spans="3:17" ht="11.25" customHeight="1" x14ac:dyDescent="0.2">
      <c r="C321" s="32">
        <v>5</v>
      </c>
      <c r="D321" s="32">
        <v>36</v>
      </c>
      <c r="E321" s="32" t="s">
        <v>14</v>
      </c>
      <c r="F321" s="33" t="s">
        <v>22</v>
      </c>
      <c r="H321" s="33">
        <v>12.8940359</v>
      </c>
      <c r="I321" s="51">
        <v>9.7101148708230944E-2</v>
      </c>
      <c r="L321">
        <v>1087761.46</v>
      </c>
      <c r="M321" s="38">
        <v>1.45016754073499E-3</v>
      </c>
      <c r="N321" s="34"/>
      <c r="O321" s="35"/>
      <c r="P321" s="35"/>
      <c r="Q321" s="16"/>
    </row>
    <row r="322" spans="3:17" ht="11.25" customHeight="1" x14ac:dyDescent="0.2">
      <c r="C322" s="32">
        <v>5</v>
      </c>
      <c r="D322" s="32">
        <v>36</v>
      </c>
      <c r="E322" s="32" t="s">
        <v>16</v>
      </c>
      <c r="F322" s="33" t="s">
        <v>22</v>
      </c>
      <c r="H322" s="33">
        <v>12.85375271</v>
      </c>
      <c r="I322" s="51">
        <v>8.9601148708230938E-2</v>
      </c>
      <c r="L322">
        <v>612251.55000000005</v>
      </c>
      <c r="M322" s="38">
        <v>8.1623348245366749E-4</v>
      </c>
      <c r="N322" s="34"/>
      <c r="O322" s="35"/>
      <c r="P322" s="35"/>
      <c r="Q322" s="16"/>
    </row>
    <row r="323" spans="3:17" ht="11.25" customHeight="1" x14ac:dyDescent="0.2">
      <c r="C323" s="32">
        <v>5</v>
      </c>
      <c r="D323" s="32">
        <v>36</v>
      </c>
      <c r="E323" s="32" t="s">
        <v>17</v>
      </c>
      <c r="F323" s="33" t="s">
        <v>22</v>
      </c>
      <c r="H323" s="33">
        <v>11.790341529999999</v>
      </c>
      <c r="I323" s="51">
        <v>8.2101148708230945E-2</v>
      </c>
      <c r="L323">
        <v>639888.26000000013</v>
      </c>
      <c r="M323" s="38">
        <v>8.530778286163879E-4</v>
      </c>
      <c r="N323" s="34"/>
      <c r="O323" s="35"/>
      <c r="P323" s="35"/>
      <c r="Q323" s="16"/>
    </row>
    <row r="324" spans="3:17" ht="11.25" customHeight="1" x14ac:dyDescent="0.2">
      <c r="C324" s="32">
        <v>5</v>
      </c>
      <c r="D324" s="32">
        <v>36</v>
      </c>
      <c r="E324" s="32" t="s">
        <v>18</v>
      </c>
      <c r="F324" s="33" t="s">
        <v>22</v>
      </c>
      <c r="H324" s="33">
        <v>9.678464237</v>
      </c>
      <c r="I324" s="51">
        <v>7.4601148708230952E-2</v>
      </c>
      <c r="L324">
        <v>267299.58</v>
      </c>
      <c r="M324" s="38">
        <v>3.5635494437180702E-4</v>
      </c>
      <c r="N324" s="34"/>
      <c r="O324" s="35"/>
      <c r="P324" s="35"/>
      <c r="Q324" s="16"/>
    </row>
    <row r="325" spans="3:17" ht="11.25" customHeight="1" x14ac:dyDescent="0.2">
      <c r="C325" s="32">
        <v>5</v>
      </c>
      <c r="D325" s="32">
        <v>36</v>
      </c>
      <c r="E325" s="32" t="s">
        <v>19</v>
      </c>
      <c r="F325" s="33" t="s">
        <v>22</v>
      </c>
      <c r="H325" s="33">
        <v>11.186079060000001</v>
      </c>
      <c r="I325" s="51">
        <v>6.7101148708230959E-2</v>
      </c>
      <c r="L325">
        <v>251288.4</v>
      </c>
      <c r="M325" s="38">
        <v>3.3500936964914202E-4</v>
      </c>
      <c r="N325" s="34"/>
      <c r="O325" s="35"/>
      <c r="P325" s="35"/>
      <c r="Q325" s="16"/>
    </row>
    <row r="326" spans="3:17" ht="11.25" customHeight="1" x14ac:dyDescent="0.2">
      <c r="C326" s="32">
        <v>5</v>
      </c>
      <c r="D326" s="32">
        <v>36</v>
      </c>
      <c r="E326" s="32" t="s">
        <v>20</v>
      </c>
      <c r="F326" s="33" t="s">
        <v>22</v>
      </c>
      <c r="H326" s="33">
        <v>10.86443652</v>
      </c>
      <c r="I326" s="51">
        <v>5.9601148708230953E-2</v>
      </c>
      <c r="L326">
        <v>93899.93</v>
      </c>
      <c r="M326" s="38">
        <v>1.251842757540681E-4</v>
      </c>
      <c r="N326" s="34"/>
      <c r="O326" s="35"/>
      <c r="P326" s="35"/>
      <c r="Q326" s="16"/>
    </row>
    <row r="327" spans="3:17" ht="11.25" customHeight="1" x14ac:dyDescent="0.2">
      <c r="C327" s="32">
        <v>5</v>
      </c>
      <c r="D327" s="32">
        <v>36</v>
      </c>
      <c r="E327" s="32" t="s">
        <v>21</v>
      </c>
      <c r="F327" s="33" t="s">
        <v>22</v>
      </c>
      <c r="H327" s="33">
        <v>10.67806354</v>
      </c>
      <c r="I327" s="51">
        <v>5.2101148708230953E-2</v>
      </c>
      <c r="L327">
        <v>74907.960000000006</v>
      </c>
      <c r="M327" s="38">
        <v>9.9864810557523327E-5</v>
      </c>
      <c r="N327" s="34"/>
      <c r="O327" s="35"/>
      <c r="P327" s="35"/>
      <c r="Q327" s="16"/>
    </row>
    <row r="328" spans="3:17" ht="11.25" customHeight="1" x14ac:dyDescent="0.2">
      <c r="C328" s="32">
        <v>5</v>
      </c>
      <c r="D328" s="32">
        <v>36</v>
      </c>
      <c r="E328" s="32" t="s">
        <v>14</v>
      </c>
      <c r="F328" s="33" t="s">
        <v>23</v>
      </c>
      <c r="H328" s="33">
        <v>16.006373660000001</v>
      </c>
      <c r="I328" s="51">
        <v>7.710114870823094E-2</v>
      </c>
      <c r="L328">
        <v>1237454.1499999999</v>
      </c>
      <c r="M328" s="38">
        <v>1.6497328756966689E-3</v>
      </c>
      <c r="N328" s="34"/>
      <c r="O328" s="35"/>
      <c r="P328" s="35"/>
      <c r="Q328" s="16"/>
    </row>
    <row r="329" spans="3:17" ht="11.25" customHeight="1" x14ac:dyDescent="0.2">
      <c r="C329" s="32">
        <v>5</v>
      </c>
      <c r="D329" s="32">
        <v>36</v>
      </c>
      <c r="E329" s="32" t="s">
        <v>16</v>
      </c>
      <c r="F329" s="33" t="s">
        <v>23</v>
      </c>
      <c r="H329" s="33">
        <v>15.98491578</v>
      </c>
      <c r="I329" s="51">
        <v>6.9601148708230948E-2</v>
      </c>
      <c r="L329">
        <v>800651.52</v>
      </c>
      <c r="M329" s="38">
        <v>1.0674020807320489E-3</v>
      </c>
      <c r="N329" s="34"/>
      <c r="O329" s="35"/>
      <c r="P329" s="35"/>
      <c r="Q329" s="16"/>
    </row>
    <row r="330" spans="3:17" ht="11.25" customHeight="1" x14ac:dyDescent="0.2">
      <c r="C330" s="32">
        <v>5</v>
      </c>
      <c r="D330" s="32">
        <v>36</v>
      </c>
      <c r="E330" s="32" t="s">
        <v>17</v>
      </c>
      <c r="F330" s="33" t="s">
        <v>23</v>
      </c>
      <c r="H330" s="33">
        <v>16.08809643</v>
      </c>
      <c r="I330" s="51">
        <v>6.2101148708230941E-2</v>
      </c>
      <c r="L330">
        <v>1025076</v>
      </c>
      <c r="M330" s="38">
        <v>1.3665973622437959E-3</v>
      </c>
      <c r="N330" s="34"/>
      <c r="O330" s="35"/>
      <c r="P330" s="35"/>
      <c r="Q330" s="16"/>
    </row>
    <row r="331" spans="3:17" ht="11.25" customHeight="1" x14ac:dyDescent="0.2">
      <c r="C331" s="32">
        <v>5</v>
      </c>
      <c r="D331" s="32">
        <v>36</v>
      </c>
      <c r="E331" s="32" t="s">
        <v>18</v>
      </c>
      <c r="F331" s="33" t="s">
        <v>23</v>
      </c>
      <c r="H331" s="33">
        <v>15.34922225</v>
      </c>
      <c r="I331" s="51">
        <v>5.4601148708230955E-2</v>
      </c>
      <c r="L331">
        <v>337126.66</v>
      </c>
      <c r="M331" s="38">
        <v>4.4944609404381819E-4</v>
      </c>
      <c r="N331" s="34"/>
      <c r="O331" s="35"/>
      <c r="P331" s="35"/>
      <c r="Q331" s="16"/>
    </row>
    <row r="332" spans="3:17" ht="11.25" customHeight="1" x14ac:dyDescent="0.2">
      <c r="C332" s="32">
        <v>5</v>
      </c>
      <c r="D332" s="32">
        <v>36</v>
      </c>
      <c r="E332" s="32" t="s">
        <v>19</v>
      </c>
      <c r="F332" s="33" t="s">
        <v>23</v>
      </c>
      <c r="H332" s="33">
        <v>13.773943470000001</v>
      </c>
      <c r="I332" s="51">
        <v>4.7101148708230955E-2</v>
      </c>
      <c r="L332">
        <v>208834.41</v>
      </c>
      <c r="M332" s="38">
        <v>2.7841111668963018E-4</v>
      </c>
      <c r="N332" s="34"/>
      <c r="O332" s="35"/>
      <c r="P332" s="35"/>
      <c r="Q332" s="16"/>
    </row>
    <row r="333" spans="3:17" ht="11.25" customHeight="1" x14ac:dyDescent="0.2">
      <c r="C333" s="32">
        <v>5</v>
      </c>
      <c r="D333" s="32">
        <v>36</v>
      </c>
      <c r="E333" s="32" t="s">
        <v>20</v>
      </c>
      <c r="F333" s="33" t="s">
        <v>23</v>
      </c>
      <c r="H333" s="33">
        <v>15.501942639999999</v>
      </c>
      <c r="I333" s="51">
        <v>3.9601148708230956E-2</v>
      </c>
      <c r="L333">
        <v>30665.69</v>
      </c>
      <c r="M333" s="38">
        <v>4.0882481948056488E-5</v>
      </c>
      <c r="N333" s="34"/>
      <c r="O333" s="35"/>
      <c r="P333" s="35"/>
      <c r="Q333" s="16"/>
    </row>
    <row r="334" spans="3:17" ht="11.25" customHeight="1" x14ac:dyDescent="0.2">
      <c r="C334" s="32">
        <v>5</v>
      </c>
      <c r="D334" s="32">
        <v>36</v>
      </c>
      <c r="E334" s="32" t="s">
        <v>21</v>
      </c>
      <c r="F334" s="33" t="s">
        <v>23</v>
      </c>
      <c r="H334" s="33">
        <v>15.75992477</v>
      </c>
      <c r="I334" s="51">
        <v>3.2101148708230956E-2</v>
      </c>
      <c r="L334">
        <v>82471.73</v>
      </c>
      <c r="M334" s="38">
        <v>1.0994857813243359E-4</v>
      </c>
      <c r="N334" s="34"/>
      <c r="O334" s="35"/>
      <c r="P334" s="35"/>
      <c r="Q334" s="16"/>
    </row>
    <row r="335" spans="3:17" ht="11.25" customHeight="1" x14ac:dyDescent="0.2">
      <c r="C335" s="32">
        <v>5</v>
      </c>
      <c r="D335" s="32">
        <v>48</v>
      </c>
      <c r="E335" s="32" t="s">
        <v>14</v>
      </c>
      <c r="F335" s="33" t="s">
        <v>22</v>
      </c>
      <c r="H335" s="33">
        <v>14.74036459</v>
      </c>
      <c r="I335" s="51">
        <v>0.16304941783706539</v>
      </c>
      <c r="L335">
        <v>1291630.21</v>
      </c>
      <c r="M335" s="38">
        <v>1.721958604025848E-3</v>
      </c>
      <c r="N335" s="34"/>
      <c r="O335" s="35"/>
      <c r="P335" s="35"/>
      <c r="Q335" s="16"/>
    </row>
    <row r="336" spans="3:17" ht="11.25" customHeight="1" x14ac:dyDescent="0.2">
      <c r="C336" s="32">
        <v>5</v>
      </c>
      <c r="D336" s="32">
        <v>48</v>
      </c>
      <c r="E336" s="32" t="s">
        <v>16</v>
      </c>
      <c r="F336" s="33" t="s">
        <v>22</v>
      </c>
      <c r="H336" s="33">
        <v>13.91519639</v>
      </c>
      <c r="I336" s="51">
        <v>0.15554941783706538</v>
      </c>
      <c r="L336">
        <v>976606.73999999976</v>
      </c>
      <c r="M336" s="38">
        <v>1.301979750607284E-3</v>
      </c>
      <c r="N336" s="34"/>
      <c r="O336" s="35"/>
      <c r="P336" s="35"/>
      <c r="Q336" s="16"/>
    </row>
    <row r="337" spans="3:17" ht="11.25" customHeight="1" x14ac:dyDescent="0.2">
      <c r="C337" s="32">
        <v>5</v>
      </c>
      <c r="D337" s="32">
        <v>48</v>
      </c>
      <c r="E337" s="32" t="s">
        <v>17</v>
      </c>
      <c r="F337" s="33" t="s">
        <v>22</v>
      </c>
      <c r="H337" s="33">
        <v>13.1085285</v>
      </c>
      <c r="I337" s="51">
        <v>0.14804941783706538</v>
      </c>
      <c r="L337">
        <v>936590.3400000002</v>
      </c>
      <c r="M337" s="38">
        <v>1.2486312118779679E-3</v>
      </c>
      <c r="N337" s="34"/>
      <c r="O337" s="35"/>
      <c r="P337" s="35"/>
      <c r="Q337" s="16"/>
    </row>
    <row r="338" spans="3:17" ht="11.25" customHeight="1" x14ac:dyDescent="0.2">
      <c r="C338" s="32">
        <v>5</v>
      </c>
      <c r="D338" s="32">
        <v>48</v>
      </c>
      <c r="E338" s="32" t="s">
        <v>18</v>
      </c>
      <c r="F338" s="33" t="s">
        <v>22</v>
      </c>
      <c r="H338" s="33">
        <v>11.90725567</v>
      </c>
      <c r="I338" s="51">
        <v>0.14054941783706537</v>
      </c>
      <c r="L338">
        <v>262464.64000000001</v>
      </c>
      <c r="M338" s="38">
        <v>3.4990916254625762E-4</v>
      </c>
      <c r="N338" s="34"/>
      <c r="O338" s="35"/>
      <c r="P338" s="35"/>
      <c r="Q338" s="16"/>
    </row>
    <row r="339" spans="3:17" ht="11.25" customHeight="1" x14ac:dyDescent="0.2">
      <c r="C339" s="32">
        <v>5</v>
      </c>
      <c r="D339" s="32">
        <v>48</v>
      </c>
      <c r="E339" s="32" t="s">
        <v>19</v>
      </c>
      <c r="F339" s="33" t="s">
        <v>22</v>
      </c>
      <c r="H339" s="33">
        <v>12.12581915</v>
      </c>
      <c r="I339" s="51">
        <v>0.13304941783706536</v>
      </c>
      <c r="L339">
        <v>111396.21</v>
      </c>
      <c r="M339" s="38">
        <v>1.4850973659509729E-4</v>
      </c>
      <c r="N339" s="34"/>
      <c r="O339" s="35"/>
      <c r="P339" s="35"/>
      <c r="Q339" s="16"/>
    </row>
    <row r="340" spans="3:17" ht="11.25" customHeight="1" x14ac:dyDescent="0.2">
      <c r="C340" s="32">
        <v>5</v>
      </c>
      <c r="D340" s="32">
        <v>48</v>
      </c>
      <c r="E340" s="32" t="s">
        <v>20</v>
      </c>
      <c r="F340" s="33" t="s">
        <v>22</v>
      </c>
      <c r="H340" s="33">
        <v>12.26036451</v>
      </c>
      <c r="I340" s="51">
        <v>0.12554941783706539</v>
      </c>
      <c r="L340">
        <v>127303.35</v>
      </c>
      <c r="M340" s="38">
        <v>1.6971660863662671E-4</v>
      </c>
      <c r="N340" s="34"/>
      <c r="O340" s="35"/>
      <c r="P340" s="35"/>
      <c r="Q340" s="16"/>
    </row>
    <row r="341" spans="3:17" ht="11.25" customHeight="1" x14ac:dyDescent="0.2">
      <c r="C341" s="32">
        <v>5</v>
      </c>
      <c r="D341" s="32">
        <v>48</v>
      </c>
      <c r="E341" s="32" t="s">
        <v>21</v>
      </c>
      <c r="F341" s="33" t="s">
        <v>22</v>
      </c>
      <c r="H341" s="33">
        <v>13.60351577</v>
      </c>
      <c r="I341" s="51">
        <v>0.11804941783706538</v>
      </c>
      <c r="L341">
        <v>309654.05</v>
      </c>
      <c r="M341" s="38">
        <v>4.1282052056443481E-4</v>
      </c>
      <c r="N341" s="34"/>
      <c r="O341" s="35"/>
      <c r="P341" s="35"/>
      <c r="Q341" s="16"/>
    </row>
    <row r="342" spans="3:17" ht="11.25" customHeight="1" x14ac:dyDescent="0.2">
      <c r="C342" s="32">
        <v>5</v>
      </c>
      <c r="D342" s="32">
        <v>48</v>
      </c>
      <c r="E342" s="32" t="s">
        <v>14</v>
      </c>
      <c r="F342" s="33" t="s">
        <v>23</v>
      </c>
      <c r="H342" s="33">
        <v>17.381984259999999</v>
      </c>
      <c r="I342" s="51">
        <v>0.1430494178370654</v>
      </c>
      <c r="L342">
        <v>1355348.21</v>
      </c>
      <c r="M342" s="38">
        <v>1.8069053306368019E-3</v>
      </c>
      <c r="N342" s="34"/>
      <c r="O342" s="35"/>
      <c r="P342" s="35"/>
      <c r="Q342" s="16"/>
    </row>
    <row r="343" spans="3:17" ht="11.25" customHeight="1" x14ac:dyDescent="0.2">
      <c r="C343" s="32">
        <v>5</v>
      </c>
      <c r="D343" s="32">
        <v>48</v>
      </c>
      <c r="E343" s="32" t="s">
        <v>16</v>
      </c>
      <c r="F343" s="33" t="s">
        <v>23</v>
      </c>
      <c r="H343" s="33">
        <v>17.734316369999998</v>
      </c>
      <c r="I343" s="51">
        <v>0.13554941783706537</v>
      </c>
      <c r="L343">
        <v>979597.08</v>
      </c>
      <c r="M343" s="38">
        <v>1.305966372824771E-3</v>
      </c>
      <c r="N343" s="34"/>
      <c r="O343" s="35"/>
      <c r="P343" s="35"/>
      <c r="Q343" s="16"/>
    </row>
    <row r="344" spans="3:17" ht="11.25" customHeight="1" x14ac:dyDescent="0.2">
      <c r="C344" s="32">
        <v>5</v>
      </c>
      <c r="D344" s="32">
        <v>48</v>
      </c>
      <c r="E344" s="32" t="s">
        <v>17</v>
      </c>
      <c r="F344" s="33" t="s">
        <v>23</v>
      </c>
      <c r="H344" s="33">
        <v>17.828264539999999</v>
      </c>
      <c r="I344" s="51">
        <v>0.12804941783706536</v>
      </c>
      <c r="L344">
        <v>1126362.3600000001</v>
      </c>
      <c r="M344" s="38">
        <v>1.5016289817600811E-3</v>
      </c>
      <c r="N344" s="34"/>
      <c r="O344" s="35"/>
      <c r="P344" s="35"/>
      <c r="Q344" s="16"/>
    </row>
    <row r="345" spans="3:17" ht="11.25" customHeight="1" x14ac:dyDescent="0.2">
      <c r="C345" s="32">
        <v>5</v>
      </c>
      <c r="D345" s="32">
        <v>48</v>
      </c>
      <c r="E345" s="32" t="s">
        <v>18</v>
      </c>
      <c r="F345" s="33" t="s">
        <v>23</v>
      </c>
      <c r="H345" s="33">
        <v>17.383443969999998</v>
      </c>
      <c r="I345" s="51">
        <v>0.12054941783706537</v>
      </c>
      <c r="L345">
        <v>714415.97000000009</v>
      </c>
      <c r="M345" s="38">
        <v>9.5243570247166359E-4</v>
      </c>
      <c r="N345" s="34"/>
      <c r="O345" s="35"/>
      <c r="P345" s="35"/>
      <c r="Q345" s="16"/>
    </row>
    <row r="346" spans="3:17" ht="11.25" customHeight="1" x14ac:dyDescent="0.2">
      <c r="C346" s="32">
        <v>5</v>
      </c>
      <c r="D346" s="32">
        <v>48</v>
      </c>
      <c r="E346" s="32" t="s">
        <v>19</v>
      </c>
      <c r="F346" s="33" t="s">
        <v>23</v>
      </c>
      <c r="H346" s="33">
        <v>17.11938352</v>
      </c>
      <c r="I346" s="51">
        <v>0.11304941783706537</v>
      </c>
      <c r="L346">
        <v>410160.49999999988</v>
      </c>
      <c r="M346" s="38">
        <v>5.4681238990728141E-4</v>
      </c>
      <c r="N346" s="34"/>
      <c r="O346" s="35"/>
      <c r="P346" s="35"/>
      <c r="Q346" s="16"/>
    </row>
    <row r="347" spans="3:17" ht="11.25" customHeight="1" x14ac:dyDescent="0.2">
      <c r="C347" s="32">
        <v>5</v>
      </c>
      <c r="D347" s="32">
        <v>48</v>
      </c>
      <c r="E347" s="32" t="s">
        <v>20</v>
      </c>
      <c r="F347" s="33" t="s">
        <v>23</v>
      </c>
      <c r="H347" s="33">
        <v>14.68</v>
      </c>
      <c r="I347" s="51">
        <v>0.10554941783706537</v>
      </c>
      <c r="L347">
        <v>28117.51</v>
      </c>
      <c r="M347" s="38">
        <v>3.7485332793728031E-5</v>
      </c>
      <c r="N347" s="34"/>
      <c r="O347" s="35"/>
      <c r="P347" s="35"/>
      <c r="Q347" s="16"/>
    </row>
    <row r="348" spans="3:17" ht="11.25" customHeight="1" x14ac:dyDescent="0.2">
      <c r="C348" s="32">
        <v>5</v>
      </c>
      <c r="D348" s="32">
        <v>48</v>
      </c>
      <c r="E348" s="32" t="s">
        <v>21</v>
      </c>
      <c r="F348" s="33" t="s">
        <v>23</v>
      </c>
      <c r="H348" s="33">
        <v>17.059999999999999</v>
      </c>
      <c r="I348" s="51">
        <v>9.8049417837065375E-2</v>
      </c>
      <c r="L348">
        <v>86369.77</v>
      </c>
      <c r="M348" s="38">
        <v>1.151453159176523E-4</v>
      </c>
      <c r="N348" s="34"/>
      <c r="O348" s="35"/>
      <c r="P348" s="35"/>
      <c r="Q348" s="16"/>
    </row>
    <row r="349" spans="3:17" ht="11.25" customHeight="1" x14ac:dyDescent="0.2">
      <c r="C349" s="32">
        <v>5</v>
      </c>
      <c r="D349" s="32">
        <v>60</v>
      </c>
      <c r="E349" s="32" t="s">
        <v>14</v>
      </c>
      <c r="F349" s="33" t="s">
        <v>22</v>
      </c>
      <c r="H349" s="33">
        <v>16.353608049999998</v>
      </c>
      <c r="I349" s="51">
        <v>0.19419364984077261</v>
      </c>
      <c r="L349">
        <v>1955405.66</v>
      </c>
      <c r="M349" s="38">
        <v>2.6068820429632419E-3</v>
      </c>
      <c r="N349" s="34"/>
      <c r="O349" s="35"/>
      <c r="P349" s="35"/>
      <c r="Q349" s="16"/>
    </row>
    <row r="350" spans="3:17" ht="11.25" customHeight="1" x14ac:dyDescent="0.2">
      <c r="C350" s="32">
        <v>5</v>
      </c>
      <c r="D350" s="32">
        <v>60</v>
      </c>
      <c r="E350" s="32" t="s">
        <v>16</v>
      </c>
      <c r="F350" s="33" t="s">
        <v>22</v>
      </c>
      <c r="H350" s="33">
        <v>15.353636460000001</v>
      </c>
      <c r="I350" s="51">
        <v>0.18669364984077264</v>
      </c>
      <c r="L350">
        <v>1834169.64</v>
      </c>
      <c r="M350" s="38">
        <v>2.445254197670858E-3</v>
      </c>
      <c r="N350" s="34"/>
      <c r="O350" s="35"/>
      <c r="P350" s="35"/>
      <c r="Q350" s="16"/>
    </row>
    <row r="351" spans="3:17" ht="11.25" customHeight="1" x14ac:dyDescent="0.2">
      <c r="C351" s="32">
        <v>5</v>
      </c>
      <c r="D351" s="32">
        <v>60</v>
      </c>
      <c r="E351" s="32" t="s">
        <v>17</v>
      </c>
      <c r="F351" s="33" t="s">
        <v>22</v>
      </c>
      <c r="H351" s="33">
        <v>14.690997980000001</v>
      </c>
      <c r="I351" s="51">
        <v>0.17919364984077263</v>
      </c>
      <c r="L351">
        <v>1853620.03</v>
      </c>
      <c r="M351" s="38">
        <v>2.4711848132238641E-3</v>
      </c>
      <c r="N351" s="34"/>
      <c r="O351" s="35"/>
      <c r="P351" s="35"/>
      <c r="Q351" s="16"/>
    </row>
    <row r="352" spans="3:17" ht="11.25" customHeight="1" x14ac:dyDescent="0.2">
      <c r="C352" s="32">
        <v>5</v>
      </c>
      <c r="D352" s="32">
        <v>60</v>
      </c>
      <c r="E352" s="32" t="s">
        <v>18</v>
      </c>
      <c r="F352" s="33" t="s">
        <v>22</v>
      </c>
      <c r="H352" s="33">
        <v>13.64341187</v>
      </c>
      <c r="I352" s="51">
        <v>0.17169364984077262</v>
      </c>
      <c r="L352">
        <v>882600.2200000002</v>
      </c>
      <c r="M352" s="38">
        <v>1.1766533725965629E-3</v>
      </c>
      <c r="N352" s="34"/>
      <c r="O352" s="35"/>
      <c r="P352" s="35"/>
      <c r="Q352" s="16"/>
    </row>
    <row r="353" spans="3:17" ht="11.25" customHeight="1" x14ac:dyDescent="0.2">
      <c r="C353" s="32">
        <v>5</v>
      </c>
      <c r="D353" s="32">
        <v>60</v>
      </c>
      <c r="E353" s="32" t="s">
        <v>19</v>
      </c>
      <c r="F353" s="33" t="s">
        <v>22</v>
      </c>
      <c r="H353" s="33">
        <v>13.4698587</v>
      </c>
      <c r="I353" s="51">
        <v>0.16419364984077262</v>
      </c>
      <c r="L353">
        <v>610810.77</v>
      </c>
      <c r="M353" s="38">
        <v>8.1431268229097348E-4</v>
      </c>
      <c r="N353" s="34"/>
      <c r="O353" s="35"/>
      <c r="P353" s="35"/>
      <c r="Q353" s="16"/>
    </row>
    <row r="354" spans="3:17" ht="11.25" customHeight="1" x14ac:dyDescent="0.2">
      <c r="C354" s="32">
        <v>5</v>
      </c>
      <c r="D354" s="32">
        <v>60</v>
      </c>
      <c r="E354" s="32" t="s">
        <v>20</v>
      </c>
      <c r="F354" s="33" t="s">
        <v>22</v>
      </c>
      <c r="H354" s="33">
        <v>12.23398452</v>
      </c>
      <c r="I354" s="51">
        <v>0.15669364984077261</v>
      </c>
      <c r="L354">
        <v>154075.94</v>
      </c>
      <c r="M354" s="38">
        <v>2.0540893864380141E-4</v>
      </c>
      <c r="N354" s="34"/>
      <c r="O354" s="35"/>
      <c r="P354" s="35"/>
      <c r="Q354" s="16"/>
    </row>
    <row r="355" spans="3:17" ht="11.25" customHeight="1" x14ac:dyDescent="0.2">
      <c r="C355" s="32">
        <v>5</v>
      </c>
      <c r="D355" s="32">
        <v>60</v>
      </c>
      <c r="E355" s="32" t="s">
        <v>21</v>
      </c>
      <c r="F355" s="33" t="s">
        <v>22</v>
      </c>
      <c r="H355" s="33">
        <v>14.45368994</v>
      </c>
      <c r="I355" s="51">
        <v>0.14919364984077263</v>
      </c>
      <c r="L355">
        <v>467301.91</v>
      </c>
      <c r="M355" s="38">
        <v>6.2299142461387036E-4</v>
      </c>
      <c r="N355" s="34"/>
      <c r="O355" s="35"/>
      <c r="P355" s="35"/>
      <c r="Q355" s="16"/>
    </row>
    <row r="356" spans="3:17" ht="11.25" customHeight="1" x14ac:dyDescent="0.2">
      <c r="C356" s="32">
        <v>5</v>
      </c>
      <c r="D356" s="32">
        <v>60</v>
      </c>
      <c r="E356" s="32" t="s">
        <v>14</v>
      </c>
      <c r="F356" s="33" t="s">
        <v>24</v>
      </c>
      <c r="H356" s="33">
        <v>21.71</v>
      </c>
      <c r="I356" s="51">
        <v>0.19419364984077261</v>
      </c>
      <c r="L356">
        <v>58533.66</v>
      </c>
      <c r="M356" s="38">
        <v>7.8035136281090573E-5</v>
      </c>
      <c r="N356" s="34"/>
      <c r="O356" s="35"/>
      <c r="P356" s="35"/>
      <c r="Q356" s="16"/>
    </row>
    <row r="357" spans="3:17" ht="11.25" customHeight="1" x14ac:dyDescent="0.2">
      <c r="C357" s="32">
        <v>5</v>
      </c>
      <c r="D357" s="32">
        <v>60</v>
      </c>
      <c r="E357" s="32" t="s">
        <v>19</v>
      </c>
      <c r="F357" s="33" t="s">
        <v>24</v>
      </c>
      <c r="H357" s="33">
        <v>19.46</v>
      </c>
      <c r="I357" s="51">
        <v>0.16419364984077262</v>
      </c>
      <c r="L357">
        <v>46897.49</v>
      </c>
      <c r="M357" s="38">
        <v>6.2522179945540424E-5</v>
      </c>
      <c r="N357" s="34"/>
      <c r="O357" s="35"/>
      <c r="P357" s="35"/>
      <c r="Q357" s="16"/>
    </row>
    <row r="358" spans="3:17" ht="11.25" customHeight="1" x14ac:dyDescent="0.2">
      <c r="C358" s="32">
        <v>5</v>
      </c>
      <c r="D358" s="32">
        <v>60</v>
      </c>
      <c r="E358" s="32" t="s">
        <v>14</v>
      </c>
      <c r="F358" s="33" t="s">
        <v>23</v>
      </c>
      <c r="H358" s="33">
        <v>20.180139879999999</v>
      </c>
      <c r="I358" s="51">
        <v>0.17419364984077262</v>
      </c>
      <c r="L358">
        <v>4096420.65</v>
      </c>
      <c r="M358" s="38">
        <v>5.4612122954112831E-3</v>
      </c>
      <c r="N358" s="34"/>
      <c r="O358" s="35"/>
      <c r="P358" s="35"/>
      <c r="Q358" s="16"/>
    </row>
    <row r="359" spans="3:17" ht="11.25" customHeight="1" x14ac:dyDescent="0.2">
      <c r="C359" s="32">
        <v>5</v>
      </c>
      <c r="D359" s="32">
        <v>60</v>
      </c>
      <c r="E359" s="32" t="s">
        <v>16</v>
      </c>
      <c r="F359" s="33" t="s">
        <v>23</v>
      </c>
      <c r="H359" s="33">
        <v>20.623583570000001</v>
      </c>
      <c r="I359" s="51">
        <v>0.16669364984077262</v>
      </c>
      <c r="L359">
        <v>3039423.18</v>
      </c>
      <c r="M359" s="38">
        <v>4.0520582869276534E-3</v>
      </c>
      <c r="N359" s="34"/>
      <c r="O359" s="35"/>
      <c r="P359" s="35"/>
      <c r="Q359" s="16"/>
    </row>
    <row r="360" spans="3:17" ht="11.25" customHeight="1" x14ac:dyDescent="0.2">
      <c r="C360" s="32">
        <v>5</v>
      </c>
      <c r="D360" s="32">
        <v>60</v>
      </c>
      <c r="E360" s="32" t="s">
        <v>17</v>
      </c>
      <c r="F360" s="33" t="s">
        <v>23</v>
      </c>
      <c r="H360" s="33">
        <v>19.462702579999998</v>
      </c>
      <c r="I360" s="51">
        <v>0.15919364984077261</v>
      </c>
      <c r="L360">
        <v>2346853.9700000002</v>
      </c>
      <c r="M360" s="38">
        <v>3.1287479611008169E-3</v>
      </c>
      <c r="N360" s="34"/>
      <c r="O360" s="35"/>
      <c r="P360" s="35"/>
      <c r="Q360" s="16"/>
    </row>
    <row r="361" spans="3:17" ht="11.25" customHeight="1" x14ac:dyDescent="0.2">
      <c r="C361" s="32">
        <v>5</v>
      </c>
      <c r="D361" s="32">
        <v>60</v>
      </c>
      <c r="E361" s="32" t="s">
        <v>18</v>
      </c>
      <c r="F361" s="33" t="s">
        <v>23</v>
      </c>
      <c r="H361" s="33">
        <v>19.68744659</v>
      </c>
      <c r="I361" s="51">
        <v>0.15169364984077263</v>
      </c>
      <c r="L361">
        <v>1413689.52</v>
      </c>
      <c r="M361" s="38">
        <v>1.8846840322704829E-3</v>
      </c>
      <c r="N361" s="34"/>
      <c r="O361" s="35"/>
      <c r="P361" s="35"/>
      <c r="Q361" s="16"/>
    </row>
    <row r="362" spans="3:17" ht="11.25" customHeight="1" x14ac:dyDescent="0.2">
      <c r="C362" s="32">
        <v>5</v>
      </c>
      <c r="D362" s="32">
        <v>60</v>
      </c>
      <c r="E362" s="32" t="s">
        <v>19</v>
      </c>
      <c r="F362" s="33" t="s">
        <v>23</v>
      </c>
      <c r="H362" s="33">
        <v>18.081997000000001</v>
      </c>
      <c r="I362" s="51">
        <v>0.14419364984077263</v>
      </c>
      <c r="L362">
        <v>663183.32999999996</v>
      </c>
      <c r="M362" s="38">
        <v>8.8413404417043886E-4</v>
      </c>
      <c r="N362" s="34"/>
      <c r="O362" s="35"/>
      <c r="P362" s="35"/>
      <c r="Q362" s="16"/>
    </row>
    <row r="363" spans="3:17" ht="11.25" customHeight="1" x14ac:dyDescent="0.2">
      <c r="C363" s="32">
        <v>5</v>
      </c>
      <c r="D363" s="32">
        <v>60</v>
      </c>
      <c r="E363" s="32" t="s">
        <v>20</v>
      </c>
      <c r="F363" s="33" t="s">
        <v>23</v>
      </c>
      <c r="H363" s="33">
        <v>18.886964819999999</v>
      </c>
      <c r="I363" s="51">
        <v>0.13669364984077262</v>
      </c>
      <c r="L363">
        <v>489189.69</v>
      </c>
      <c r="M363" s="38">
        <v>6.5217148776369781E-4</v>
      </c>
      <c r="N363" s="34"/>
      <c r="O363" s="35"/>
      <c r="P363" s="35"/>
      <c r="Q363" s="16"/>
    </row>
    <row r="364" spans="3:17" ht="11.25" customHeight="1" x14ac:dyDescent="0.2">
      <c r="C364" s="32">
        <v>5</v>
      </c>
      <c r="D364" s="32">
        <v>60</v>
      </c>
      <c r="E364" s="32" t="s">
        <v>21</v>
      </c>
      <c r="F364" s="33" t="s">
        <v>23</v>
      </c>
      <c r="H364" s="33">
        <v>18.805746639999999</v>
      </c>
      <c r="I364" s="51">
        <v>0.12919364984077261</v>
      </c>
      <c r="L364">
        <v>116884.47</v>
      </c>
      <c r="M364" s="38">
        <v>1.558265030000352E-4</v>
      </c>
      <c r="N364" s="34"/>
      <c r="O364" s="35"/>
      <c r="P364" s="35"/>
      <c r="Q364" s="16"/>
    </row>
    <row r="365" spans="3:17" ht="11.25" customHeight="1" x14ac:dyDescent="0.2">
      <c r="C365" s="32">
        <v>6</v>
      </c>
      <c r="D365" s="32">
        <v>24</v>
      </c>
      <c r="E365" s="32" t="s">
        <v>14</v>
      </c>
      <c r="F365" s="33" t="s">
        <v>22</v>
      </c>
      <c r="H365" s="33">
        <v>11.85683521</v>
      </c>
      <c r="I365" s="51">
        <v>8.7591753097411185E-2</v>
      </c>
      <c r="L365">
        <v>71296.459999999992</v>
      </c>
      <c r="M365" s="38">
        <v>9.5050078407181809E-5</v>
      </c>
      <c r="N365" s="34"/>
      <c r="O365" s="35"/>
      <c r="P365" s="35"/>
      <c r="Q365" s="16"/>
    </row>
    <row r="366" spans="3:17" ht="11.25" customHeight="1" x14ac:dyDescent="0.2">
      <c r="C366" s="32">
        <v>6</v>
      </c>
      <c r="D366" s="32">
        <v>24</v>
      </c>
      <c r="E366" s="32" t="s">
        <v>16</v>
      </c>
      <c r="F366" s="33" t="s">
        <v>22</v>
      </c>
      <c r="H366" s="33">
        <v>11.16533995</v>
      </c>
      <c r="I366" s="51">
        <v>8.0091753097411192E-2</v>
      </c>
      <c r="L366">
        <v>334263.86</v>
      </c>
      <c r="M366" s="38">
        <v>4.4562950392890822E-4</v>
      </c>
      <c r="N366" s="34"/>
      <c r="O366" s="35"/>
      <c r="P366" s="35"/>
      <c r="Q366" s="16"/>
    </row>
    <row r="367" spans="3:17" ht="11.25" customHeight="1" x14ac:dyDescent="0.2">
      <c r="C367" s="32">
        <v>6</v>
      </c>
      <c r="D367" s="32">
        <v>24</v>
      </c>
      <c r="E367" s="32" t="s">
        <v>17</v>
      </c>
      <c r="F367" s="33" t="s">
        <v>22</v>
      </c>
      <c r="H367" s="33">
        <v>11.40686769</v>
      </c>
      <c r="I367" s="51">
        <v>7.2591753097411185E-2</v>
      </c>
      <c r="L367">
        <v>129174.28</v>
      </c>
      <c r="M367" s="38">
        <v>1.722108705283721E-4</v>
      </c>
      <c r="N367" s="34"/>
      <c r="O367" s="35"/>
      <c r="P367" s="35"/>
      <c r="Q367" s="16"/>
    </row>
    <row r="368" spans="3:17" ht="11.25" customHeight="1" x14ac:dyDescent="0.2">
      <c r="C368" s="32">
        <v>6</v>
      </c>
      <c r="D368" s="32">
        <v>24</v>
      </c>
      <c r="E368" s="32" t="s">
        <v>18</v>
      </c>
      <c r="F368" s="33" t="s">
        <v>22</v>
      </c>
      <c r="H368" s="33">
        <v>10.582684009999999</v>
      </c>
      <c r="I368" s="51">
        <v>6.5091753097411192E-2</v>
      </c>
      <c r="L368">
        <v>75166.319999999992</v>
      </c>
      <c r="M368" s="38">
        <v>1.00209247550009E-4</v>
      </c>
      <c r="N368" s="34"/>
      <c r="O368" s="35"/>
      <c r="P368" s="35"/>
      <c r="Q368" s="16"/>
    </row>
    <row r="369" spans="3:17" ht="11.25" customHeight="1" x14ac:dyDescent="0.2">
      <c r="C369" s="32">
        <v>6</v>
      </c>
      <c r="D369" s="32">
        <v>24</v>
      </c>
      <c r="E369" s="32" t="s">
        <v>19</v>
      </c>
      <c r="F369" s="33" t="s">
        <v>22</v>
      </c>
      <c r="H369" s="33">
        <v>8.0146634050000003</v>
      </c>
      <c r="I369" s="51">
        <v>5.7591753097411186E-2</v>
      </c>
      <c r="L369">
        <v>62629.36</v>
      </c>
      <c r="M369" s="38">
        <v>8.3495387829797112E-5</v>
      </c>
      <c r="N369" s="34"/>
      <c r="O369" s="35"/>
      <c r="P369" s="35"/>
      <c r="Q369" s="16"/>
    </row>
    <row r="370" spans="3:17" ht="11.25" customHeight="1" x14ac:dyDescent="0.2">
      <c r="C370" s="32">
        <v>6</v>
      </c>
      <c r="D370" s="32">
        <v>24</v>
      </c>
      <c r="E370" s="32" t="s">
        <v>20</v>
      </c>
      <c r="F370" s="33" t="s">
        <v>22</v>
      </c>
      <c r="H370" s="33">
        <v>11.022042920000001</v>
      </c>
      <c r="I370" s="51">
        <v>5.0091753097411186E-2</v>
      </c>
      <c r="L370">
        <v>30900.59</v>
      </c>
      <c r="M370" s="38">
        <v>4.1195642845776327E-5</v>
      </c>
      <c r="N370" s="34"/>
      <c r="O370" s="35"/>
      <c r="P370" s="35"/>
      <c r="Q370" s="16"/>
    </row>
    <row r="371" spans="3:17" ht="11.25" customHeight="1" x14ac:dyDescent="0.2">
      <c r="C371" s="32">
        <v>6</v>
      </c>
      <c r="D371" s="32">
        <v>24</v>
      </c>
      <c r="E371" s="32" t="s">
        <v>21</v>
      </c>
      <c r="F371" s="33" t="s">
        <v>22</v>
      </c>
      <c r="H371" s="33">
        <v>7.79</v>
      </c>
      <c r="I371" s="51">
        <v>4.2591753097411186E-2</v>
      </c>
      <c r="L371">
        <v>5485.98</v>
      </c>
      <c r="M371" s="38">
        <v>7.3137267844747303E-6</v>
      </c>
      <c r="N371" s="34"/>
      <c r="O371" s="35"/>
      <c r="P371" s="35"/>
      <c r="Q371" s="16"/>
    </row>
    <row r="372" spans="3:17" ht="11.25" customHeight="1" x14ac:dyDescent="0.2">
      <c r="C372" s="32">
        <v>6</v>
      </c>
      <c r="D372" s="32">
        <v>24</v>
      </c>
      <c r="E372" s="32" t="s">
        <v>14</v>
      </c>
      <c r="F372" s="33" t="s">
        <v>23</v>
      </c>
      <c r="H372" s="33">
        <v>11.28679706</v>
      </c>
      <c r="I372" s="51">
        <v>6.7591753097411195E-2</v>
      </c>
      <c r="L372">
        <v>324619.44</v>
      </c>
      <c r="M372" s="38">
        <v>4.3277188270631471E-4</v>
      </c>
      <c r="N372" s="34"/>
      <c r="O372" s="35"/>
      <c r="P372" s="35"/>
      <c r="Q372" s="16"/>
    </row>
    <row r="373" spans="3:17" ht="11.25" customHeight="1" x14ac:dyDescent="0.2">
      <c r="C373" s="32">
        <v>6</v>
      </c>
      <c r="D373" s="32">
        <v>24</v>
      </c>
      <c r="E373" s="32" t="s">
        <v>16</v>
      </c>
      <c r="F373" s="33" t="s">
        <v>23</v>
      </c>
      <c r="H373" s="33">
        <v>15.69531355</v>
      </c>
      <c r="I373" s="51">
        <v>6.0091753097411188E-2</v>
      </c>
      <c r="L373">
        <v>316802.87</v>
      </c>
      <c r="M373" s="38">
        <v>4.2235109054671477E-4</v>
      </c>
      <c r="N373" s="34"/>
      <c r="O373" s="35"/>
      <c r="P373" s="35"/>
      <c r="Q373" s="16"/>
    </row>
    <row r="374" spans="3:17" ht="11.25" customHeight="1" x14ac:dyDescent="0.2">
      <c r="C374" s="32">
        <v>6</v>
      </c>
      <c r="D374" s="32">
        <v>24</v>
      </c>
      <c r="E374" s="32" t="s">
        <v>17</v>
      </c>
      <c r="F374" s="33" t="s">
        <v>23</v>
      </c>
      <c r="H374" s="33">
        <v>12.249300870000001</v>
      </c>
      <c r="I374" s="51">
        <v>5.2591753097411188E-2</v>
      </c>
      <c r="L374">
        <v>374601.39</v>
      </c>
      <c r="M374" s="38">
        <v>4.9940616253512857E-4</v>
      </c>
      <c r="N374" s="34"/>
      <c r="O374" s="35"/>
      <c r="P374" s="35"/>
      <c r="Q374" s="16"/>
    </row>
    <row r="375" spans="3:17" ht="11.25" customHeight="1" x14ac:dyDescent="0.2">
      <c r="C375" s="32">
        <v>6</v>
      </c>
      <c r="D375" s="32">
        <v>24</v>
      </c>
      <c r="E375" s="32" t="s">
        <v>18</v>
      </c>
      <c r="F375" s="33" t="s">
        <v>23</v>
      </c>
      <c r="H375" s="33">
        <v>13.15466494</v>
      </c>
      <c r="I375" s="51">
        <v>4.5091753097411189E-2</v>
      </c>
      <c r="L375">
        <v>216248.47</v>
      </c>
      <c r="M375" s="38">
        <v>2.8829529585246041E-4</v>
      </c>
      <c r="N375" s="34"/>
      <c r="O375" s="35"/>
      <c r="P375" s="35"/>
      <c r="Q375" s="16"/>
    </row>
    <row r="376" spans="3:17" ht="11.25" customHeight="1" x14ac:dyDescent="0.2">
      <c r="C376" s="32">
        <v>6</v>
      </c>
      <c r="D376" s="32">
        <v>24</v>
      </c>
      <c r="E376" s="32" t="s">
        <v>19</v>
      </c>
      <c r="F376" s="33" t="s">
        <v>23</v>
      </c>
      <c r="H376" s="33">
        <v>9.9752830830000008</v>
      </c>
      <c r="I376" s="51">
        <v>3.7591753097411189E-2</v>
      </c>
      <c r="L376">
        <v>142027.41</v>
      </c>
      <c r="M376" s="38">
        <v>1.8934623761781381E-4</v>
      </c>
      <c r="N376" s="34"/>
      <c r="O376" s="35"/>
      <c r="P376" s="35"/>
      <c r="Q376" s="16"/>
    </row>
    <row r="377" spans="3:17" ht="11.25" customHeight="1" x14ac:dyDescent="0.2">
      <c r="C377" s="32">
        <v>6</v>
      </c>
      <c r="D377" s="32">
        <v>24</v>
      </c>
      <c r="E377" s="32" t="s">
        <v>20</v>
      </c>
      <c r="F377" s="33" t="s">
        <v>23</v>
      </c>
      <c r="H377" s="33">
        <v>11.38367579</v>
      </c>
      <c r="I377" s="51">
        <v>3.0091753097411189E-2</v>
      </c>
      <c r="L377">
        <v>110628.85</v>
      </c>
      <c r="M377" s="38">
        <v>1.4748671766587511E-4</v>
      </c>
      <c r="N377" s="34"/>
      <c r="O377" s="35"/>
      <c r="P377" s="35"/>
      <c r="Q377" s="16"/>
    </row>
    <row r="378" spans="3:17" ht="11.25" customHeight="1" x14ac:dyDescent="0.2">
      <c r="C378" s="32">
        <v>6</v>
      </c>
      <c r="D378" s="32">
        <v>24</v>
      </c>
      <c r="E378" s="32" t="s">
        <v>21</v>
      </c>
      <c r="F378" s="33" t="s">
        <v>23</v>
      </c>
      <c r="H378" s="33">
        <v>8.4</v>
      </c>
      <c r="I378" s="51">
        <v>2.2591753097411189E-2</v>
      </c>
      <c r="L378">
        <v>3824.67</v>
      </c>
      <c r="M378" s="38">
        <v>5.0989233319802429E-6</v>
      </c>
      <c r="N378" s="34"/>
      <c r="O378" s="35"/>
      <c r="P378" s="35"/>
      <c r="Q378" s="16"/>
    </row>
    <row r="379" spans="3:17" ht="11.25" customHeight="1" x14ac:dyDescent="0.2">
      <c r="C379" s="32">
        <v>6</v>
      </c>
      <c r="D379" s="32">
        <v>36</v>
      </c>
      <c r="E379" s="32" t="s">
        <v>14</v>
      </c>
      <c r="F379" s="33" t="s">
        <v>22</v>
      </c>
      <c r="H379" s="33">
        <v>13.19589472</v>
      </c>
      <c r="I379" s="51">
        <v>0.11256859055178307</v>
      </c>
      <c r="L379">
        <v>335074.24</v>
      </c>
      <c r="M379" s="38">
        <v>4.4670987569686988E-4</v>
      </c>
      <c r="N379" s="34"/>
      <c r="O379" s="35"/>
      <c r="P379" s="35"/>
      <c r="Q379" s="16"/>
    </row>
    <row r="380" spans="3:17" ht="11.25" customHeight="1" x14ac:dyDescent="0.2">
      <c r="C380" s="32">
        <v>6</v>
      </c>
      <c r="D380" s="32">
        <v>36</v>
      </c>
      <c r="E380" s="32" t="s">
        <v>16</v>
      </c>
      <c r="F380" s="33" t="s">
        <v>22</v>
      </c>
      <c r="H380" s="33">
        <v>13.632479180000001</v>
      </c>
      <c r="I380" s="51">
        <v>0.10506859055178307</v>
      </c>
      <c r="L380">
        <v>543999.80000000005</v>
      </c>
      <c r="M380" s="38">
        <v>7.25242510546684E-4</v>
      </c>
      <c r="N380" s="34"/>
      <c r="O380" s="35"/>
      <c r="P380" s="35"/>
      <c r="Q380" s="16"/>
    </row>
    <row r="381" spans="3:17" ht="11.25" customHeight="1" x14ac:dyDescent="0.2">
      <c r="C381" s="32">
        <v>6</v>
      </c>
      <c r="D381" s="32">
        <v>36</v>
      </c>
      <c r="E381" s="32" t="s">
        <v>17</v>
      </c>
      <c r="F381" s="33" t="s">
        <v>22</v>
      </c>
      <c r="H381" s="33">
        <v>12.874655239999999</v>
      </c>
      <c r="I381" s="51">
        <v>9.7568590551783074E-2</v>
      </c>
      <c r="L381">
        <v>298977.21000000002</v>
      </c>
      <c r="M381" s="38">
        <v>3.9858651120210548E-4</v>
      </c>
      <c r="N381" s="34"/>
      <c r="O381" s="35"/>
      <c r="P381" s="35"/>
      <c r="Q381" s="16"/>
    </row>
    <row r="382" spans="3:17" ht="11.25" customHeight="1" x14ac:dyDescent="0.2">
      <c r="C382" s="32">
        <v>6</v>
      </c>
      <c r="D382" s="32">
        <v>36</v>
      </c>
      <c r="E382" s="32" t="s">
        <v>18</v>
      </c>
      <c r="F382" s="33" t="s">
        <v>22</v>
      </c>
      <c r="H382" s="33">
        <v>11.70529574</v>
      </c>
      <c r="I382" s="51">
        <v>9.0068590551783068E-2</v>
      </c>
      <c r="L382">
        <v>208759.83</v>
      </c>
      <c r="M382" s="38">
        <v>2.7831168910447932E-4</v>
      </c>
      <c r="N382" s="34"/>
      <c r="O382" s="35"/>
      <c r="P382" s="35"/>
      <c r="Q382" s="16"/>
    </row>
    <row r="383" spans="3:17" ht="11.25" customHeight="1" x14ac:dyDescent="0.2">
      <c r="C383" s="32">
        <v>6</v>
      </c>
      <c r="D383" s="32">
        <v>36</v>
      </c>
      <c r="E383" s="32" t="s">
        <v>19</v>
      </c>
      <c r="F383" s="33" t="s">
        <v>22</v>
      </c>
      <c r="H383" s="33">
        <v>10.05373953</v>
      </c>
      <c r="I383" s="51">
        <v>8.2568590551783061E-2</v>
      </c>
      <c r="L383">
        <v>69522.94</v>
      </c>
      <c r="M383" s="38">
        <v>9.2685680300225249E-5</v>
      </c>
      <c r="N383" s="34"/>
      <c r="O383" s="35"/>
      <c r="P383" s="35"/>
      <c r="Q383" s="16"/>
    </row>
    <row r="384" spans="3:17" ht="11.25" customHeight="1" x14ac:dyDescent="0.2">
      <c r="C384" s="32">
        <v>6</v>
      </c>
      <c r="D384" s="32">
        <v>36</v>
      </c>
      <c r="E384" s="32" t="s">
        <v>20</v>
      </c>
      <c r="F384" s="33" t="s">
        <v>22</v>
      </c>
      <c r="H384" s="33">
        <v>10.15835721</v>
      </c>
      <c r="I384" s="51">
        <v>7.5068590551783082E-2</v>
      </c>
      <c r="L384">
        <v>90459.15</v>
      </c>
      <c r="M384" s="38">
        <v>1.205971418517416E-4</v>
      </c>
      <c r="N384" s="34"/>
      <c r="O384" s="35"/>
      <c r="P384" s="35"/>
      <c r="Q384" s="16"/>
    </row>
    <row r="385" spans="3:17" ht="11.25" customHeight="1" x14ac:dyDescent="0.2">
      <c r="C385" s="32">
        <v>6</v>
      </c>
      <c r="D385" s="32">
        <v>36</v>
      </c>
      <c r="E385" s="32" t="s">
        <v>21</v>
      </c>
      <c r="F385" s="33" t="s">
        <v>22</v>
      </c>
      <c r="H385" s="33">
        <v>12.62</v>
      </c>
      <c r="I385" s="51">
        <v>6.7568590551783075E-2</v>
      </c>
      <c r="L385">
        <v>6513.74</v>
      </c>
      <c r="M385" s="38">
        <v>8.6839023665971136E-6</v>
      </c>
      <c r="N385" s="34"/>
      <c r="O385" s="35"/>
      <c r="P385" s="35"/>
      <c r="Q385" s="16"/>
    </row>
    <row r="386" spans="3:17" ht="11.25" customHeight="1" x14ac:dyDescent="0.2">
      <c r="C386" s="32">
        <v>6</v>
      </c>
      <c r="D386" s="32">
        <v>36</v>
      </c>
      <c r="E386" s="32" t="s">
        <v>14</v>
      </c>
      <c r="F386" s="33" t="s">
        <v>23</v>
      </c>
      <c r="H386" s="33">
        <v>15.646319460000001</v>
      </c>
      <c r="I386" s="51">
        <v>9.256859055178307E-2</v>
      </c>
      <c r="L386">
        <v>1047130.63</v>
      </c>
      <c r="M386" s="38">
        <v>1.3959998642858521E-3</v>
      </c>
      <c r="N386" s="34"/>
      <c r="O386" s="35"/>
      <c r="P386" s="35"/>
      <c r="Q386" s="16"/>
    </row>
    <row r="387" spans="3:17" ht="11.25" customHeight="1" x14ac:dyDescent="0.2">
      <c r="C387" s="32">
        <v>6</v>
      </c>
      <c r="D387" s="32">
        <v>36</v>
      </c>
      <c r="E387" s="32" t="s">
        <v>16</v>
      </c>
      <c r="F387" s="33" t="s">
        <v>23</v>
      </c>
      <c r="H387" s="33">
        <v>16.739239349999998</v>
      </c>
      <c r="I387" s="51">
        <v>8.5068590551783063E-2</v>
      </c>
      <c r="L387">
        <v>771534.76</v>
      </c>
      <c r="M387" s="38">
        <v>1.028584580943657E-3</v>
      </c>
      <c r="N387" s="34"/>
      <c r="O387" s="35"/>
      <c r="P387" s="35"/>
      <c r="Q387" s="16"/>
    </row>
    <row r="388" spans="3:17" ht="11.25" customHeight="1" x14ac:dyDescent="0.2">
      <c r="C388" s="32">
        <v>6</v>
      </c>
      <c r="D388" s="32">
        <v>36</v>
      </c>
      <c r="E388" s="32" t="s">
        <v>17</v>
      </c>
      <c r="F388" s="33" t="s">
        <v>23</v>
      </c>
      <c r="H388" s="33">
        <v>16.99759693</v>
      </c>
      <c r="I388" s="51">
        <v>7.756859055178307E-2</v>
      </c>
      <c r="L388">
        <v>247995.51999999999</v>
      </c>
      <c r="M388" s="38">
        <v>3.3061941112686127E-4</v>
      </c>
      <c r="N388" s="34"/>
      <c r="O388" s="35"/>
      <c r="P388" s="35"/>
      <c r="Q388" s="16"/>
    </row>
    <row r="389" spans="3:17" ht="11.25" customHeight="1" x14ac:dyDescent="0.2">
      <c r="C389" s="32">
        <v>6</v>
      </c>
      <c r="D389" s="32">
        <v>36</v>
      </c>
      <c r="E389" s="32" t="s">
        <v>18</v>
      </c>
      <c r="F389" s="33" t="s">
        <v>23</v>
      </c>
      <c r="H389" s="33">
        <v>16.527680969999999</v>
      </c>
      <c r="I389" s="51">
        <v>7.0068590551783064E-2</v>
      </c>
      <c r="L389">
        <v>227221.13</v>
      </c>
      <c r="M389" s="38">
        <v>3.0292368263821871E-4</v>
      </c>
      <c r="N389" s="34"/>
      <c r="O389" s="35"/>
      <c r="P389" s="35"/>
      <c r="Q389" s="16"/>
    </row>
    <row r="390" spans="3:17" ht="11.25" customHeight="1" x14ac:dyDescent="0.2">
      <c r="C390" s="32">
        <v>6</v>
      </c>
      <c r="D390" s="32">
        <v>36</v>
      </c>
      <c r="E390" s="32" t="s">
        <v>19</v>
      </c>
      <c r="F390" s="33" t="s">
        <v>23</v>
      </c>
      <c r="H390" s="33">
        <v>16.26481605</v>
      </c>
      <c r="I390" s="51">
        <v>6.2568590551783071E-2</v>
      </c>
      <c r="L390">
        <v>161852.67000000001</v>
      </c>
      <c r="M390" s="38">
        <v>2.1577661743530781E-4</v>
      </c>
      <c r="N390" s="34"/>
      <c r="O390" s="35"/>
      <c r="P390" s="35"/>
      <c r="Q390" s="16"/>
    </row>
    <row r="391" spans="3:17" ht="11.25" customHeight="1" x14ac:dyDescent="0.2">
      <c r="C391" s="32">
        <v>6</v>
      </c>
      <c r="D391" s="32">
        <v>36</v>
      </c>
      <c r="E391" s="32" t="s">
        <v>20</v>
      </c>
      <c r="F391" s="33" t="s">
        <v>23</v>
      </c>
      <c r="H391" s="33">
        <v>16.41669637</v>
      </c>
      <c r="I391" s="51">
        <v>5.5068590551783078E-2</v>
      </c>
      <c r="L391">
        <v>30600</v>
      </c>
      <c r="M391" s="38">
        <v>4.0794906216378247E-5</v>
      </c>
      <c r="N391" s="34"/>
      <c r="O391" s="35"/>
      <c r="P391" s="35"/>
      <c r="Q391" s="16"/>
    </row>
    <row r="392" spans="3:17" ht="11.25" customHeight="1" x14ac:dyDescent="0.2">
      <c r="C392" s="32">
        <v>6</v>
      </c>
      <c r="D392" s="32">
        <v>36</v>
      </c>
      <c r="E392" s="32" t="s">
        <v>21</v>
      </c>
      <c r="F392" s="33" t="s">
        <v>23</v>
      </c>
      <c r="H392" s="33">
        <v>18.239999999999998</v>
      </c>
      <c r="I392" s="51">
        <v>4.7568590551783078E-2</v>
      </c>
      <c r="L392">
        <v>42127.92</v>
      </c>
      <c r="M392" s="38">
        <v>5.6163547238270782E-5</v>
      </c>
      <c r="N392" s="34"/>
      <c r="O392" s="35"/>
      <c r="P392" s="35"/>
      <c r="Q392" s="16"/>
    </row>
    <row r="393" spans="3:17" ht="11.25" customHeight="1" x14ac:dyDescent="0.2">
      <c r="C393" s="32">
        <v>6</v>
      </c>
      <c r="D393" s="32">
        <v>48</v>
      </c>
      <c r="E393" s="32" t="s">
        <v>14</v>
      </c>
      <c r="F393" s="33" t="s">
        <v>22</v>
      </c>
      <c r="H393" s="33">
        <v>14.97990899</v>
      </c>
      <c r="I393" s="51">
        <v>0.19482895411106682</v>
      </c>
      <c r="L393">
        <v>353070.65</v>
      </c>
      <c r="M393" s="38">
        <v>4.7070209328450038E-4</v>
      </c>
      <c r="N393" s="34"/>
      <c r="O393" s="35"/>
      <c r="P393" s="35"/>
      <c r="Q393" s="16"/>
    </row>
    <row r="394" spans="3:17" ht="11.25" customHeight="1" x14ac:dyDescent="0.2">
      <c r="C394" s="32">
        <v>6</v>
      </c>
      <c r="D394" s="32">
        <v>48</v>
      </c>
      <c r="E394" s="32" t="s">
        <v>16</v>
      </c>
      <c r="F394" s="33" t="s">
        <v>22</v>
      </c>
      <c r="H394" s="33">
        <v>14.48363764</v>
      </c>
      <c r="I394" s="51">
        <v>0.18732895411106681</v>
      </c>
      <c r="L394">
        <v>202337.81</v>
      </c>
      <c r="M394" s="38">
        <v>2.6975006480318178E-4</v>
      </c>
      <c r="N394" s="34"/>
      <c r="O394" s="35"/>
      <c r="P394" s="35"/>
      <c r="Q394" s="16"/>
    </row>
    <row r="395" spans="3:17" ht="11.25" customHeight="1" x14ac:dyDescent="0.2">
      <c r="C395" s="32">
        <v>6</v>
      </c>
      <c r="D395" s="32">
        <v>48</v>
      </c>
      <c r="E395" s="32" t="s">
        <v>17</v>
      </c>
      <c r="F395" s="33" t="s">
        <v>22</v>
      </c>
      <c r="H395" s="33">
        <v>14.807692940000001</v>
      </c>
      <c r="I395" s="51">
        <v>0.17982895411106681</v>
      </c>
      <c r="L395">
        <v>543632.65999999992</v>
      </c>
      <c r="M395" s="38">
        <v>7.2475305166209948E-4</v>
      </c>
      <c r="N395" s="34"/>
      <c r="O395" s="35"/>
      <c r="P395" s="35"/>
      <c r="Q395" s="16"/>
    </row>
    <row r="396" spans="3:17" ht="11.25" customHeight="1" x14ac:dyDescent="0.2">
      <c r="C396" s="32">
        <v>6</v>
      </c>
      <c r="D396" s="32">
        <v>48</v>
      </c>
      <c r="E396" s="32" t="s">
        <v>18</v>
      </c>
      <c r="F396" s="33" t="s">
        <v>22</v>
      </c>
      <c r="H396" s="33">
        <v>11.92698259</v>
      </c>
      <c r="I396" s="51">
        <v>0.17232895411106683</v>
      </c>
      <c r="L396">
        <v>180452.03</v>
      </c>
      <c r="M396" s="38">
        <v>2.4057266798709401E-4</v>
      </c>
      <c r="N396" s="34"/>
      <c r="O396" s="35"/>
      <c r="P396" s="35"/>
      <c r="Q396" s="16"/>
    </row>
    <row r="397" spans="3:17" ht="11.25" customHeight="1" x14ac:dyDescent="0.2">
      <c r="C397" s="32">
        <v>6</v>
      </c>
      <c r="D397" s="32">
        <v>48</v>
      </c>
      <c r="E397" s="32" t="s">
        <v>19</v>
      </c>
      <c r="F397" s="33" t="s">
        <v>22</v>
      </c>
      <c r="H397" s="33">
        <v>13.782878480000001</v>
      </c>
      <c r="I397" s="51">
        <v>0.16482895411106682</v>
      </c>
      <c r="L397">
        <v>47686.19</v>
      </c>
      <c r="M397" s="38">
        <v>6.3573648655764527E-5</v>
      </c>
      <c r="N397" s="34"/>
      <c r="O397" s="35"/>
      <c r="P397" s="35"/>
      <c r="Q397" s="16"/>
    </row>
    <row r="398" spans="3:17" ht="11.25" customHeight="1" x14ac:dyDescent="0.2">
      <c r="C398" s="32">
        <v>6</v>
      </c>
      <c r="D398" s="32">
        <v>48</v>
      </c>
      <c r="E398" s="32" t="s">
        <v>20</v>
      </c>
      <c r="F398" s="33" t="s">
        <v>22</v>
      </c>
      <c r="H398" s="33">
        <v>10.98</v>
      </c>
      <c r="I398" s="51">
        <v>0.15732895411106682</v>
      </c>
      <c r="L398">
        <v>6062.59</v>
      </c>
      <c r="M398" s="38">
        <v>8.0824441332794986E-6</v>
      </c>
      <c r="N398" s="34"/>
      <c r="O398" s="35"/>
      <c r="P398" s="35"/>
      <c r="Q398" s="16"/>
    </row>
    <row r="399" spans="3:17" ht="11.25" customHeight="1" x14ac:dyDescent="0.2">
      <c r="C399" s="32">
        <v>6</v>
      </c>
      <c r="D399" s="32">
        <v>48</v>
      </c>
      <c r="E399" s="32" t="s">
        <v>18</v>
      </c>
      <c r="F399" s="33" t="s">
        <v>24</v>
      </c>
      <c r="H399" s="33">
        <v>20.48</v>
      </c>
      <c r="I399" s="51">
        <v>0.17232895411106683</v>
      </c>
      <c r="L399">
        <v>36005.910000000003</v>
      </c>
      <c r="M399" s="38">
        <v>4.8001886329586802E-5</v>
      </c>
      <c r="N399" s="34"/>
      <c r="O399" s="35"/>
      <c r="P399" s="35"/>
      <c r="Q399" s="16"/>
    </row>
    <row r="400" spans="3:17" ht="11.25" customHeight="1" x14ac:dyDescent="0.2">
      <c r="C400" s="32">
        <v>6</v>
      </c>
      <c r="D400" s="32">
        <v>48</v>
      </c>
      <c r="E400" s="32" t="s">
        <v>14</v>
      </c>
      <c r="F400" s="33" t="s">
        <v>23</v>
      </c>
      <c r="H400" s="33">
        <v>19.035910399999999</v>
      </c>
      <c r="I400" s="51">
        <v>0.17482895411106683</v>
      </c>
      <c r="L400">
        <v>2031156.57</v>
      </c>
      <c r="M400" s="38">
        <v>2.707870646533678E-3</v>
      </c>
      <c r="N400" s="34"/>
      <c r="O400" s="35"/>
      <c r="P400" s="35"/>
      <c r="Q400" s="16"/>
    </row>
    <row r="401" spans="3:17" ht="11.25" customHeight="1" x14ac:dyDescent="0.2">
      <c r="C401" s="32">
        <v>6</v>
      </c>
      <c r="D401" s="32">
        <v>48</v>
      </c>
      <c r="E401" s="32" t="s">
        <v>16</v>
      </c>
      <c r="F401" s="33" t="s">
        <v>23</v>
      </c>
      <c r="H401" s="33">
        <v>19.83233886</v>
      </c>
      <c r="I401" s="51">
        <v>0.16732895411106682</v>
      </c>
      <c r="L401">
        <v>2122441.85</v>
      </c>
      <c r="M401" s="38">
        <v>2.8295691575315799E-3</v>
      </c>
      <c r="N401" s="34"/>
      <c r="O401" s="35"/>
      <c r="P401" s="35"/>
      <c r="Q401" s="16"/>
    </row>
    <row r="402" spans="3:17" ht="11.25" customHeight="1" x14ac:dyDescent="0.2">
      <c r="C402" s="32">
        <v>6</v>
      </c>
      <c r="D402" s="32">
        <v>48</v>
      </c>
      <c r="E402" s="32" t="s">
        <v>17</v>
      </c>
      <c r="F402" s="33" t="s">
        <v>23</v>
      </c>
      <c r="H402" s="33">
        <v>18.401773389999999</v>
      </c>
      <c r="I402" s="51">
        <v>0.15982895411106682</v>
      </c>
      <c r="L402">
        <v>1060645.6000000001</v>
      </c>
      <c r="M402" s="38">
        <v>1.4140175745364131E-3</v>
      </c>
      <c r="N402" s="34"/>
      <c r="O402" s="35"/>
      <c r="P402" s="35"/>
      <c r="Q402" s="16"/>
    </row>
    <row r="403" spans="3:17" ht="11.25" customHeight="1" x14ac:dyDescent="0.2">
      <c r="C403" s="32">
        <v>6</v>
      </c>
      <c r="D403" s="32">
        <v>48</v>
      </c>
      <c r="E403" s="32" t="s">
        <v>18</v>
      </c>
      <c r="F403" s="33" t="s">
        <v>23</v>
      </c>
      <c r="H403" s="33">
        <v>18.452995959999999</v>
      </c>
      <c r="I403" s="51">
        <v>0.15232895411106681</v>
      </c>
      <c r="L403">
        <v>447853.85</v>
      </c>
      <c r="M403" s="38">
        <v>5.9706391533967103E-4</v>
      </c>
      <c r="N403" s="34"/>
      <c r="O403" s="35"/>
      <c r="P403" s="35"/>
      <c r="Q403" s="16"/>
    </row>
    <row r="404" spans="3:17" ht="11.25" customHeight="1" x14ac:dyDescent="0.2">
      <c r="C404" s="32">
        <v>6</v>
      </c>
      <c r="D404" s="32">
        <v>48</v>
      </c>
      <c r="E404" s="32" t="s">
        <v>19</v>
      </c>
      <c r="F404" s="33" t="s">
        <v>23</v>
      </c>
      <c r="H404" s="33">
        <v>20.269954439999999</v>
      </c>
      <c r="I404" s="51">
        <v>0.14482895411106683</v>
      </c>
      <c r="L404">
        <v>75267.8</v>
      </c>
      <c r="M404" s="38">
        <v>1.0034453732395801E-4</v>
      </c>
      <c r="N404" s="34"/>
      <c r="O404" s="35"/>
      <c r="P404" s="35"/>
      <c r="Q404" s="16"/>
    </row>
    <row r="405" spans="3:17" ht="11.25" customHeight="1" x14ac:dyDescent="0.2">
      <c r="C405" s="32">
        <v>6</v>
      </c>
      <c r="D405" s="32">
        <v>48</v>
      </c>
      <c r="E405" s="32" t="s">
        <v>20</v>
      </c>
      <c r="F405" s="33" t="s">
        <v>23</v>
      </c>
      <c r="H405" s="33">
        <v>16.061515790000001</v>
      </c>
      <c r="I405" s="51">
        <v>0.1373289541110668</v>
      </c>
      <c r="L405">
        <v>40998.5</v>
      </c>
      <c r="M405" s="38">
        <v>5.4657841912162872E-5</v>
      </c>
      <c r="N405" s="34"/>
      <c r="O405" s="35"/>
      <c r="P405" s="35"/>
      <c r="Q405" s="16"/>
    </row>
    <row r="406" spans="3:17" ht="11.25" customHeight="1" x14ac:dyDescent="0.2">
      <c r="C406" s="32">
        <v>6</v>
      </c>
      <c r="D406" s="32">
        <v>60</v>
      </c>
      <c r="E406" s="32" t="s">
        <v>14</v>
      </c>
      <c r="F406" s="33" t="s">
        <v>22</v>
      </c>
      <c r="H406" s="33">
        <v>16.453637629999999</v>
      </c>
      <c r="I406" s="51">
        <v>0.20124924190490998</v>
      </c>
      <c r="L406">
        <v>1618317.27</v>
      </c>
      <c r="M406" s="38">
        <v>2.1574869692155322E-3</v>
      </c>
      <c r="N406" s="34"/>
      <c r="O406" s="35"/>
      <c r="P406" s="35"/>
      <c r="Q406" s="16"/>
    </row>
    <row r="407" spans="3:17" ht="11.25" customHeight="1" x14ac:dyDescent="0.2">
      <c r="C407" s="32">
        <v>6</v>
      </c>
      <c r="D407" s="32">
        <v>60</v>
      </c>
      <c r="E407" s="32" t="s">
        <v>16</v>
      </c>
      <c r="F407" s="33" t="s">
        <v>22</v>
      </c>
      <c r="H407" s="33">
        <v>16.234900079999999</v>
      </c>
      <c r="I407" s="51">
        <v>0.19374924190490997</v>
      </c>
      <c r="L407">
        <v>1596644.11</v>
      </c>
      <c r="M407" s="38">
        <v>2.1285930303393051E-3</v>
      </c>
      <c r="N407" s="34"/>
      <c r="O407" s="35"/>
      <c r="P407" s="35"/>
      <c r="Q407" s="16"/>
    </row>
    <row r="408" spans="3:17" ht="11.25" customHeight="1" x14ac:dyDescent="0.2">
      <c r="C408" s="32">
        <v>6</v>
      </c>
      <c r="D408" s="32">
        <v>60</v>
      </c>
      <c r="E408" s="32" t="s">
        <v>17</v>
      </c>
      <c r="F408" s="33" t="s">
        <v>22</v>
      </c>
      <c r="H408" s="33">
        <v>15.680338170000001</v>
      </c>
      <c r="I408" s="51">
        <v>0.18624924190490996</v>
      </c>
      <c r="L408">
        <v>841308.56</v>
      </c>
      <c r="M408" s="38">
        <v>1.121604699484844E-3</v>
      </c>
      <c r="N408" s="34"/>
      <c r="O408" s="35"/>
      <c r="P408" s="35"/>
      <c r="Q408" s="16"/>
    </row>
    <row r="409" spans="3:17" ht="11.25" customHeight="1" x14ac:dyDescent="0.2">
      <c r="C409" s="32">
        <v>6</v>
      </c>
      <c r="D409" s="32">
        <v>60</v>
      </c>
      <c r="E409" s="32" t="s">
        <v>18</v>
      </c>
      <c r="F409" s="33" t="s">
        <v>22</v>
      </c>
      <c r="H409" s="33">
        <v>14.897875519999999</v>
      </c>
      <c r="I409" s="51">
        <v>0.17874924190490998</v>
      </c>
      <c r="L409">
        <v>563161.09</v>
      </c>
      <c r="M409" s="38">
        <v>7.5078770755762593E-4</v>
      </c>
      <c r="N409" s="34"/>
      <c r="O409" s="35"/>
      <c r="P409" s="35"/>
      <c r="Q409" s="16"/>
    </row>
    <row r="410" spans="3:17" ht="11.25" customHeight="1" x14ac:dyDescent="0.2">
      <c r="C410" s="32">
        <v>6</v>
      </c>
      <c r="D410" s="32">
        <v>60</v>
      </c>
      <c r="E410" s="32" t="s">
        <v>19</v>
      </c>
      <c r="F410" s="33" t="s">
        <v>22</v>
      </c>
      <c r="H410" s="33">
        <v>13.8335594</v>
      </c>
      <c r="I410" s="51">
        <v>0.17124924190490998</v>
      </c>
      <c r="L410">
        <v>434317.01</v>
      </c>
      <c r="M410" s="38">
        <v>5.7901704872966725E-4</v>
      </c>
      <c r="N410" s="34"/>
      <c r="O410" s="35"/>
      <c r="P410" s="35"/>
      <c r="Q410" s="16"/>
    </row>
    <row r="411" spans="3:17" ht="11.25" customHeight="1" x14ac:dyDescent="0.2">
      <c r="C411" s="32">
        <v>6</v>
      </c>
      <c r="D411" s="32">
        <v>60</v>
      </c>
      <c r="E411" s="32" t="s">
        <v>20</v>
      </c>
      <c r="F411" s="33" t="s">
        <v>22</v>
      </c>
      <c r="H411" s="33">
        <v>12.237562309999999</v>
      </c>
      <c r="I411" s="51">
        <v>0.16374924190490997</v>
      </c>
      <c r="L411">
        <v>54139.41</v>
      </c>
      <c r="M411" s="38">
        <v>7.2176867763400356E-5</v>
      </c>
      <c r="N411" s="34"/>
      <c r="O411" s="35"/>
      <c r="P411" s="35"/>
      <c r="Q411" s="16"/>
    </row>
    <row r="412" spans="3:17" ht="11.25" customHeight="1" x14ac:dyDescent="0.2">
      <c r="C412" s="32">
        <v>6</v>
      </c>
      <c r="D412" s="32">
        <v>60</v>
      </c>
      <c r="E412" s="32" t="s">
        <v>21</v>
      </c>
      <c r="F412" s="33" t="s">
        <v>22</v>
      </c>
      <c r="H412" s="33">
        <v>12.45</v>
      </c>
      <c r="I412" s="51">
        <v>0.15624924190490996</v>
      </c>
      <c r="L412">
        <v>9512.8700000000008</v>
      </c>
      <c r="M412" s="38">
        <v>1.2682243120869219E-5</v>
      </c>
      <c r="N412" s="34"/>
      <c r="O412" s="35"/>
      <c r="P412" s="35"/>
      <c r="Q412" s="16"/>
    </row>
    <row r="413" spans="3:17" ht="11.25" customHeight="1" x14ac:dyDescent="0.2">
      <c r="C413" s="32">
        <v>6</v>
      </c>
      <c r="D413" s="32">
        <v>60</v>
      </c>
      <c r="E413" s="32" t="s">
        <v>14</v>
      </c>
      <c r="F413" s="33" t="s">
        <v>23</v>
      </c>
      <c r="H413" s="33">
        <v>21.996499889999999</v>
      </c>
      <c r="I413" s="51">
        <v>0.18124924190490999</v>
      </c>
      <c r="L413">
        <v>2891389.34</v>
      </c>
      <c r="M413" s="38">
        <v>3.8547044758279682E-3</v>
      </c>
      <c r="N413" s="34"/>
      <c r="O413" s="35"/>
      <c r="P413" s="35"/>
      <c r="Q413" s="16"/>
    </row>
    <row r="414" spans="3:17" ht="11.25" customHeight="1" x14ac:dyDescent="0.2">
      <c r="C414" s="32">
        <v>6</v>
      </c>
      <c r="D414" s="32">
        <v>60</v>
      </c>
      <c r="E414" s="32" t="s">
        <v>16</v>
      </c>
      <c r="F414" s="33" t="s">
        <v>23</v>
      </c>
      <c r="H414" s="33">
        <v>21.156626920000001</v>
      </c>
      <c r="I414" s="51">
        <v>0.17374924190490998</v>
      </c>
      <c r="L414">
        <v>1804602.6</v>
      </c>
      <c r="M414" s="38">
        <v>2.4058363995043261E-3</v>
      </c>
      <c r="N414" s="34"/>
      <c r="O414" s="35"/>
      <c r="P414" s="35"/>
      <c r="Q414" s="16"/>
    </row>
    <row r="415" spans="3:17" ht="11.25" customHeight="1" x14ac:dyDescent="0.2">
      <c r="C415" s="32">
        <v>6</v>
      </c>
      <c r="D415" s="32">
        <v>60</v>
      </c>
      <c r="E415" s="32" t="s">
        <v>17</v>
      </c>
      <c r="F415" s="33" t="s">
        <v>23</v>
      </c>
      <c r="H415" s="33">
        <v>21.552276769999999</v>
      </c>
      <c r="I415" s="51">
        <v>0.16624924190490997</v>
      </c>
      <c r="L415">
        <v>1303320.24</v>
      </c>
      <c r="M415" s="38">
        <v>1.737543364729007E-3</v>
      </c>
      <c r="N415" s="34"/>
      <c r="O415" s="35"/>
      <c r="P415" s="35"/>
      <c r="Q415" s="16"/>
    </row>
    <row r="416" spans="3:17" ht="11.25" customHeight="1" x14ac:dyDescent="0.2">
      <c r="C416" s="32">
        <v>6</v>
      </c>
      <c r="D416" s="32">
        <v>60</v>
      </c>
      <c r="E416" s="32" t="s">
        <v>18</v>
      </c>
      <c r="F416" s="33" t="s">
        <v>23</v>
      </c>
      <c r="H416" s="33">
        <v>21.363118669999999</v>
      </c>
      <c r="I416" s="51">
        <v>0.15874924190490997</v>
      </c>
      <c r="L416">
        <v>748820.54000000015</v>
      </c>
      <c r="M416" s="38">
        <v>9.9830273536593889E-4</v>
      </c>
      <c r="N416" s="34"/>
      <c r="O416" s="35"/>
      <c r="P416" s="35"/>
      <c r="Q416" s="16"/>
    </row>
    <row r="417" spans="3:17" ht="11.25" customHeight="1" x14ac:dyDescent="0.2">
      <c r="C417" s="32">
        <v>6</v>
      </c>
      <c r="D417" s="32">
        <v>60</v>
      </c>
      <c r="E417" s="32" t="s">
        <v>19</v>
      </c>
      <c r="F417" s="33" t="s">
        <v>23</v>
      </c>
      <c r="H417" s="33">
        <v>20.448340389999998</v>
      </c>
      <c r="I417" s="51">
        <v>0.15124924190490996</v>
      </c>
      <c r="L417">
        <v>194989.03</v>
      </c>
      <c r="M417" s="38">
        <v>2.5995291477361328E-4</v>
      </c>
      <c r="N417" s="34"/>
      <c r="O417" s="35"/>
      <c r="P417" s="35"/>
      <c r="Q417" s="16"/>
    </row>
    <row r="418" spans="3:17" ht="11.25" customHeight="1" x14ac:dyDescent="0.2">
      <c r="C418" s="32">
        <v>6</v>
      </c>
      <c r="D418" s="32">
        <v>60</v>
      </c>
      <c r="E418" s="32" t="s">
        <v>20</v>
      </c>
      <c r="F418" s="33" t="s">
        <v>23</v>
      </c>
      <c r="H418" s="33">
        <v>19.889247619999999</v>
      </c>
      <c r="I418" s="51">
        <v>0.14374924190490998</v>
      </c>
      <c r="L418">
        <v>156641.92000000001</v>
      </c>
      <c r="M418" s="38">
        <v>2.0882981816841261E-4</v>
      </c>
      <c r="N418" s="34"/>
      <c r="O418" s="35"/>
      <c r="P418" s="35"/>
      <c r="Q418" s="16"/>
    </row>
    <row r="419" spans="3:17" ht="11.25" customHeight="1" x14ac:dyDescent="0.2">
      <c r="C419" s="32">
        <v>6</v>
      </c>
      <c r="D419" s="32">
        <v>60</v>
      </c>
      <c r="E419" s="32" t="s">
        <v>21</v>
      </c>
      <c r="F419" s="33" t="s">
        <v>23</v>
      </c>
      <c r="H419" s="33">
        <v>21.850300690000001</v>
      </c>
      <c r="I419" s="51">
        <v>0.13624924190490997</v>
      </c>
      <c r="L419">
        <v>73147.77</v>
      </c>
      <c r="M419" s="38">
        <v>9.7518183564941402E-5</v>
      </c>
      <c r="N419" s="34"/>
      <c r="O419" s="35"/>
      <c r="P419" s="35"/>
      <c r="Q419" s="16"/>
    </row>
    <row r="420" spans="3:17" ht="11.25" customHeight="1" x14ac:dyDescent="0.2">
      <c r="F420" s="34"/>
      <c r="H420" s="34"/>
      <c r="M420" s="34"/>
      <c r="N420" s="34"/>
      <c r="O420" s="35"/>
      <c r="P420" s="35"/>
      <c r="Q420" s="16"/>
    </row>
    <row r="421" spans="3:17" ht="11.25" customHeight="1" x14ac:dyDescent="0.2">
      <c r="F421" s="34"/>
      <c r="H421" s="34"/>
      <c r="M421" s="34"/>
      <c r="N421" s="34"/>
      <c r="O421" s="35"/>
      <c r="P421" s="35"/>
      <c r="Q421" s="16"/>
    </row>
    <row r="422" spans="3:17" ht="11.25" customHeight="1" x14ac:dyDescent="0.2">
      <c r="F422" s="34"/>
      <c r="H422" s="34"/>
      <c r="M422" s="34"/>
      <c r="N422" s="34"/>
      <c r="O422" s="35"/>
      <c r="P422" s="35"/>
      <c r="Q422" s="16"/>
    </row>
    <row r="423" spans="3:17" ht="11.25" customHeight="1" x14ac:dyDescent="0.2">
      <c r="F423" s="34"/>
      <c r="H423" s="34"/>
      <c r="M423" s="34"/>
      <c r="N423" s="34"/>
      <c r="O423" s="35"/>
      <c r="P423" s="35"/>
      <c r="Q423" s="16"/>
    </row>
    <row r="424" spans="3:17" ht="11.25" customHeight="1" x14ac:dyDescent="0.2">
      <c r="F424" s="34"/>
      <c r="H424" s="34"/>
      <c r="M424" s="34"/>
      <c r="N424" s="34"/>
      <c r="O424" s="35"/>
      <c r="P424" s="35"/>
      <c r="Q424" s="16"/>
    </row>
    <row r="425" spans="3:17" ht="11.25" customHeight="1" x14ac:dyDescent="0.2">
      <c r="F425" s="34"/>
      <c r="H425" s="34"/>
      <c r="M425" s="34"/>
      <c r="N425" s="34"/>
      <c r="O425" s="35"/>
      <c r="P425" s="35"/>
      <c r="Q425" s="16"/>
    </row>
    <row r="426" spans="3:17" ht="11.25" customHeight="1" x14ac:dyDescent="0.2">
      <c r="F426" s="34"/>
      <c r="H426" s="34"/>
      <c r="M426" s="34"/>
      <c r="N426" s="34"/>
      <c r="O426" s="35"/>
      <c r="P426" s="35"/>
      <c r="Q426" s="16"/>
    </row>
    <row r="427" spans="3:17" ht="11.25" customHeight="1" x14ac:dyDescent="0.2">
      <c r="F427" s="34"/>
      <c r="H427" s="34"/>
      <c r="M427" s="34"/>
      <c r="N427" s="34"/>
      <c r="O427" s="35"/>
      <c r="P427" s="35"/>
      <c r="Q427" s="16"/>
    </row>
    <row r="428" spans="3:17" ht="11.25" customHeight="1" x14ac:dyDescent="0.2">
      <c r="F428" s="34"/>
      <c r="H428" s="34"/>
      <c r="M428" s="34"/>
      <c r="N428" s="34"/>
      <c r="O428" s="35"/>
      <c r="P428" s="35"/>
      <c r="Q428" s="16"/>
    </row>
    <row r="429" spans="3:17" ht="11.25" customHeight="1" x14ac:dyDescent="0.2">
      <c r="F429" s="34"/>
      <c r="H429" s="34"/>
      <c r="M429" s="34"/>
      <c r="N429" s="34"/>
      <c r="O429" s="35"/>
      <c r="P429" s="35"/>
      <c r="Q429" s="16"/>
    </row>
    <row r="430" spans="3:17" ht="11.25" customHeight="1" x14ac:dyDescent="0.2">
      <c r="F430" s="34"/>
      <c r="H430" s="34"/>
      <c r="M430" s="34"/>
      <c r="N430" s="34"/>
      <c r="O430" s="35"/>
      <c r="P430" s="35"/>
      <c r="Q430" s="16"/>
    </row>
    <row r="431" spans="3:17" ht="11.25" customHeight="1" x14ac:dyDescent="0.2">
      <c r="F431" s="34"/>
      <c r="H431" s="34"/>
      <c r="M431" s="34"/>
      <c r="N431" s="34"/>
      <c r="O431" s="35"/>
      <c r="P431" s="35"/>
      <c r="Q431" s="16"/>
    </row>
    <row r="432" spans="3:17" ht="11.25" customHeight="1" x14ac:dyDescent="0.2">
      <c r="F432" s="34"/>
      <c r="H432" s="34"/>
      <c r="M432" s="34"/>
      <c r="N432" s="34"/>
      <c r="O432" s="35"/>
      <c r="P432" s="35"/>
      <c r="Q432" s="16"/>
    </row>
    <row r="433" spans="6:17" ht="11.25" customHeight="1" x14ac:dyDescent="0.2">
      <c r="F433" s="34"/>
      <c r="H433" s="34"/>
      <c r="M433" s="34"/>
      <c r="N433" s="34"/>
      <c r="O433" s="35"/>
      <c r="P433" s="35"/>
      <c r="Q433" s="16"/>
    </row>
    <row r="434" spans="6:17" ht="11.25" customHeight="1" x14ac:dyDescent="0.2">
      <c r="F434" s="34"/>
      <c r="H434" s="34"/>
      <c r="M434" s="34"/>
      <c r="N434" s="34"/>
      <c r="O434" s="35"/>
      <c r="P434" s="35"/>
      <c r="Q434" s="16"/>
    </row>
    <row r="435" spans="6:17" ht="11.25" customHeight="1" x14ac:dyDescent="0.2">
      <c r="F435" s="34"/>
      <c r="H435" s="34"/>
      <c r="M435" s="34"/>
      <c r="N435" s="34"/>
      <c r="O435" s="35"/>
      <c r="P435" s="35"/>
      <c r="Q435" s="16"/>
    </row>
    <row r="436" spans="6:17" ht="11.25" customHeight="1" x14ac:dyDescent="0.2">
      <c r="F436" s="34"/>
      <c r="H436" s="34"/>
      <c r="M436" s="34"/>
      <c r="N436" s="34"/>
      <c r="O436" s="35"/>
      <c r="P436" s="35"/>
      <c r="Q436" s="16"/>
    </row>
    <row r="437" spans="6:17" ht="11.25" customHeight="1" x14ac:dyDescent="0.2">
      <c r="F437" s="34"/>
      <c r="H437" s="34"/>
      <c r="M437" s="34"/>
      <c r="N437" s="34"/>
      <c r="O437" s="35"/>
      <c r="P437" s="35"/>
      <c r="Q437" s="16"/>
    </row>
    <row r="438" spans="6:17" ht="11.25" customHeight="1" x14ac:dyDescent="0.2">
      <c r="F438" s="34"/>
      <c r="H438" s="34"/>
      <c r="M438" s="34"/>
      <c r="N438" s="34"/>
      <c r="O438" s="35"/>
      <c r="P438" s="35"/>
      <c r="Q438" s="16"/>
    </row>
    <row r="439" spans="6:17" ht="11.25" customHeight="1" x14ac:dyDescent="0.2">
      <c r="F439" s="34"/>
      <c r="H439" s="34"/>
      <c r="M439" s="34"/>
      <c r="N439" s="34"/>
      <c r="O439" s="35"/>
      <c r="P439" s="35"/>
      <c r="Q439" s="16"/>
    </row>
    <row r="440" spans="6:17" ht="11.25" customHeight="1" x14ac:dyDescent="0.2">
      <c r="F440" s="34"/>
      <c r="H440" s="34"/>
      <c r="M440" s="34"/>
      <c r="N440" s="34"/>
      <c r="O440" s="35"/>
      <c r="P440" s="35"/>
      <c r="Q440" s="16"/>
    </row>
    <row r="441" spans="6:17" ht="11.25" customHeight="1" x14ac:dyDescent="0.2">
      <c r="F441" s="34"/>
      <c r="H441" s="34"/>
      <c r="M441" s="34"/>
      <c r="N441" s="34"/>
      <c r="O441" s="35"/>
      <c r="P441" s="35"/>
      <c r="Q441" s="16"/>
    </row>
    <row r="442" spans="6:17" ht="11.25" customHeight="1" x14ac:dyDescent="0.2">
      <c r="F442" s="34"/>
      <c r="H442" s="34"/>
      <c r="M442" s="34"/>
      <c r="N442" s="34"/>
      <c r="O442" s="35"/>
      <c r="P442" s="35"/>
      <c r="Q442" s="16"/>
    </row>
    <row r="443" spans="6:17" ht="11.25" customHeight="1" x14ac:dyDescent="0.2">
      <c r="F443" s="34"/>
      <c r="H443" s="34"/>
      <c r="M443" s="34"/>
      <c r="N443" s="34"/>
      <c r="O443" s="35"/>
      <c r="P443" s="35"/>
      <c r="Q443" s="16"/>
    </row>
    <row r="444" spans="6:17" ht="11.25" customHeight="1" x14ac:dyDescent="0.2">
      <c r="F444" s="34"/>
      <c r="H444" s="34"/>
      <c r="M444" s="34"/>
      <c r="N444" s="34"/>
      <c r="O444" s="35"/>
      <c r="P444" s="35"/>
      <c r="Q444" s="16"/>
    </row>
    <row r="445" spans="6:17" ht="11.25" customHeight="1" x14ac:dyDescent="0.2">
      <c r="F445" s="34"/>
      <c r="H445" s="34"/>
      <c r="M445" s="34"/>
      <c r="N445" s="34"/>
      <c r="O445" s="35"/>
      <c r="P445" s="35"/>
      <c r="Q445" s="16"/>
    </row>
    <row r="446" spans="6:17" ht="11.25" customHeight="1" x14ac:dyDescent="0.2">
      <c r="F446" s="34"/>
      <c r="H446" s="34"/>
      <c r="M446" s="34"/>
      <c r="N446" s="34"/>
      <c r="O446" s="35"/>
      <c r="P446" s="35"/>
      <c r="Q446" s="16"/>
    </row>
    <row r="447" spans="6:17" ht="11.25" customHeight="1" x14ac:dyDescent="0.2">
      <c r="F447" s="34"/>
      <c r="H447" s="34"/>
      <c r="M447" s="34"/>
      <c r="N447" s="34"/>
      <c r="O447" s="35"/>
      <c r="P447" s="35"/>
      <c r="Q447" s="16"/>
    </row>
    <row r="448" spans="6:17" ht="11.25" customHeight="1" x14ac:dyDescent="0.2">
      <c r="F448" s="34"/>
      <c r="H448" s="34"/>
      <c r="M448" s="34"/>
      <c r="N448" s="34"/>
      <c r="O448" s="35"/>
      <c r="P448" s="35"/>
      <c r="Q448" s="16"/>
    </row>
    <row r="449" spans="6:17" ht="11.25" customHeight="1" x14ac:dyDescent="0.2">
      <c r="F449" s="34"/>
      <c r="H449" s="34"/>
      <c r="M449" s="34"/>
      <c r="N449" s="34"/>
      <c r="O449" s="35"/>
      <c r="P449" s="35"/>
      <c r="Q449" s="16"/>
    </row>
    <row r="450" spans="6:17" ht="11.25" customHeight="1" x14ac:dyDescent="0.2">
      <c r="F450" s="34"/>
      <c r="H450" s="34"/>
      <c r="M450" s="34"/>
      <c r="N450" s="34"/>
      <c r="O450" s="35"/>
      <c r="P450" s="35"/>
      <c r="Q450" s="16"/>
    </row>
    <row r="451" spans="6:17" ht="11.25" customHeight="1" x14ac:dyDescent="0.2">
      <c r="F451" s="34"/>
      <c r="H451" s="34"/>
      <c r="M451" s="34"/>
      <c r="N451" s="34"/>
      <c r="O451" s="35"/>
      <c r="P451" s="35"/>
      <c r="Q451" s="16"/>
    </row>
    <row r="452" spans="6:17" ht="11.25" customHeight="1" x14ac:dyDescent="0.2">
      <c r="F452" s="34"/>
      <c r="H452" s="34"/>
      <c r="M452" s="34"/>
      <c r="N452" s="34"/>
      <c r="O452" s="35"/>
      <c r="P452" s="35"/>
      <c r="Q452" s="16"/>
    </row>
    <row r="453" spans="6:17" ht="11.25" customHeight="1" x14ac:dyDescent="0.2">
      <c r="F453" s="34"/>
      <c r="H453" s="34"/>
      <c r="M453" s="34"/>
      <c r="N453" s="34"/>
      <c r="O453" s="35"/>
      <c r="P453" s="35"/>
      <c r="Q453" s="16"/>
    </row>
    <row r="454" spans="6:17" ht="11.25" customHeight="1" x14ac:dyDescent="0.2">
      <c r="F454" s="34"/>
      <c r="H454" s="34"/>
      <c r="M454" s="34"/>
      <c r="N454" s="34"/>
      <c r="O454" s="35"/>
      <c r="P454" s="35"/>
      <c r="Q454" s="16"/>
    </row>
    <row r="455" spans="6:17" ht="11.25" customHeight="1" x14ac:dyDescent="0.2">
      <c r="F455" s="34"/>
      <c r="H455" s="34"/>
      <c r="M455" s="34"/>
      <c r="N455" s="34"/>
      <c r="O455" s="35"/>
      <c r="P455" s="35"/>
      <c r="Q455" s="16"/>
    </row>
    <row r="456" spans="6:17" ht="11.25" customHeight="1" x14ac:dyDescent="0.2">
      <c r="F456" s="34"/>
      <c r="H456" s="34"/>
      <c r="M456" s="34"/>
      <c r="N456" s="34"/>
      <c r="O456" s="35"/>
      <c r="P456" s="35"/>
      <c r="Q456" s="16"/>
    </row>
    <row r="457" spans="6:17" ht="11.25" customHeight="1" x14ac:dyDescent="0.2">
      <c r="F457" s="34"/>
      <c r="H457" s="34"/>
      <c r="M457" s="34"/>
      <c r="N457" s="34"/>
      <c r="O457" s="35"/>
      <c r="P457" s="35"/>
      <c r="Q457" s="16"/>
    </row>
    <row r="458" spans="6:17" ht="11.25" customHeight="1" x14ac:dyDescent="0.2">
      <c r="F458" s="34"/>
      <c r="H458" s="34"/>
      <c r="M458" s="34"/>
      <c r="N458" s="34"/>
      <c r="O458" s="35"/>
      <c r="P458" s="35"/>
      <c r="Q458" s="16"/>
    </row>
    <row r="459" spans="6:17" ht="11.25" customHeight="1" x14ac:dyDescent="0.2">
      <c r="F459" s="34"/>
      <c r="H459" s="34"/>
      <c r="M459" s="34"/>
      <c r="N459" s="34"/>
      <c r="O459" s="35"/>
      <c r="P459" s="35"/>
      <c r="Q459" s="16"/>
    </row>
    <row r="460" spans="6:17" ht="11.25" customHeight="1" x14ac:dyDescent="0.2">
      <c r="F460" s="34"/>
      <c r="H460" s="34"/>
      <c r="M460" s="34"/>
      <c r="N460" s="34"/>
      <c r="O460" s="35"/>
      <c r="P460" s="35"/>
      <c r="Q460" s="16"/>
    </row>
    <row r="461" spans="6:17" ht="11.25" customHeight="1" x14ac:dyDescent="0.2">
      <c r="F461" s="34"/>
      <c r="H461" s="34"/>
      <c r="M461" s="34"/>
      <c r="N461" s="34"/>
      <c r="O461" s="35"/>
      <c r="P461" s="35"/>
      <c r="Q461" s="16"/>
    </row>
    <row r="462" spans="6:17" ht="11.25" customHeight="1" x14ac:dyDescent="0.2">
      <c r="F462" s="34"/>
      <c r="H462" s="34"/>
      <c r="M462" s="34"/>
      <c r="N462" s="34"/>
      <c r="O462" s="35"/>
      <c r="P462" s="35"/>
      <c r="Q462" s="16"/>
    </row>
    <row r="463" spans="6:17" ht="11.25" customHeight="1" x14ac:dyDescent="0.2">
      <c r="F463" s="34"/>
      <c r="H463" s="34"/>
      <c r="M463" s="34"/>
      <c r="N463" s="34"/>
      <c r="O463" s="35"/>
      <c r="P463" s="35"/>
      <c r="Q463" s="16"/>
    </row>
    <row r="464" spans="6:17" ht="11.25" customHeight="1" x14ac:dyDescent="0.2">
      <c r="F464" s="34"/>
      <c r="H464" s="34"/>
      <c r="M464" s="34"/>
      <c r="N464" s="34"/>
      <c r="O464" s="35"/>
      <c r="P464" s="35"/>
      <c r="Q464" s="16"/>
    </row>
    <row r="465" spans="6:17" ht="11.25" customHeight="1" x14ac:dyDescent="0.2">
      <c r="F465" s="34"/>
      <c r="H465" s="34"/>
      <c r="M465" s="34"/>
      <c r="N465" s="34"/>
      <c r="O465" s="35"/>
      <c r="P465" s="35"/>
      <c r="Q465" s="16"/>
    </row>
    <row r="466" spans="6:17" ht="11.25" customHeight="1" x14ac:dyDescent="0.2">
      <c r="F466" s="34"/>
      <c r="H466" s="34"/>
      <c r="M466" s="34"/>
      <c r="N466" s="34"/>
      <c r="O466" s="35"/>
      <c r="P466" s="35"/>
      <c r="Q466" s="16"/>
    </row>
    <row r="467" spans="6:17" ht="11.25" customHeight="1" x14ac:dyDescent="0.2">
      <c r="F467" s="34"/>
      <c r="H467" s="34"/>
      <c r="M467" s="34"/>
      <c r="N467" s="34"/>
      <c r="O467" s="35"/>
      <c r="P467" s="35"/>
      <c r="Q467" s="16"/>
    </row>
    <row r="468" spans="6:17" ht="11.25" customHeight="1" x14ac:dyDescent="0.2">
      <c r="F468" s="34"/>
      <c r="H468" s="34"/>
      <c r="M468" s="34"/>
      <c r="N468" s="34"/>
      <c r="O468" s="35"/>
      <c r="P468" s="35"/>
      <c r="Q468" s="16"/>
    </row>
    <row r="469" spans="6:17" ht="11.25" customHeight="1" x14ac:dyDescent="0.2">
      <c r="F469" s="34"/>
      <c r="H469" s="34"/>
      <c r="M469" s="34"/>
      <c r="N469" s="34"/>
      <c r="O469" s="35"/>
      <c r="P469" s="35"/>
      <c r="Q469" s="16"/>
    </row>
    <row r="470" spans="6:17" ht="11.25" customHeight="1" x14ac:dyDescent="0.2">
      <c r="F470" s="34"/>
      <c r="H470" s="34"/>
      <c r="M470" s="34"/>
      <c r="N470" s="34"/>
      <c r="O470" s="35"/>
      <c r="P470" s="35"/>
      <c r="Q470" s="16"/>
    </row>
    <row r="471" spans="6:17" ht="11.25" customHeight="1" x14ac:dyDescent="0.2">
      <c r="F471" s="34"/>
      <c r="H471" s="34"/>
      <c r="M471" s="34"/>
      <c r="N471" s="34"/>
      <c r="O471" s="35"/>
      <c r="P471" s="35"/>
      <c r="Q471" s="16"/>
    </row>
    <row r="472" spans="6:17" ht="11.25" customHeight="1" x14ac:dyDescent="0.2">
      <c r="F472" s="34"/>
      <c r="H472" s="34"/>
      <c r="M472" s="34"/>
      <c r="N472" s="34"/>
      <c r="O472" s="35"/>
      <c r="P472" s="35"/>
      <c r="Q472" s="16"/>
    </row>
    <row r="473" spans="6:17" ht="11.25" customHeight="1" x14ac:dyDescent="0.2">
      <c r="F473" s="34"/>
      <c r="H473" s="34"/>
      <c r="M473" s="34"/>
      <c r="N473" s="34"/>
      <c r="O473" s="35"/>
      <c r="P473" s="35"/>
      <c r="Q473" s="16"/>
    </row>
    <row r="474" spans="6:17" ht="11.25" customHeight="1" x14ac:dyDescent="0.2">
      <c r="F474" s="34"/>
      <c r="H474" s="34"/>
      <c r="M474" s="34"/>
      <c r="N474" s="34"/>
      <c r="O474" s="35"/>
      <c r="P474" s="35"/>
      <c r="Q474" s="16"/>
    </row>
    <row r="475" spans="6:17" ht="11.25" customHeight="1" x14ac:dyDescent="0.2">
      <c r="F475" s="34"/>
      <c r="H475" s="34"/>
      <c r="M475" s="34"/>
      <c r="N475" s="34"/>
      <c r="O475" s="35"/>
      <c r="P475" s="35"/>
      <c r="Q475" s="16"/>
    </row>
    <row r="476" spans="6:17" ht="11.25" customHeight="1" x14ac:dyDescent="0.2">
      <c r="F476" s="34"/>
      <c r="H476" s="34"/>
      <c r="M476" s="34"/>
      <c r="N476" s="34"/>
      <c r="O476" s="35"/>
      <c r="P476" s="35"/>
      <c r="Q476" s="16"/>
    </row>
    <row r="477" spans="6:17" ht="11.25" customHeight="1" x14ac:dyDescent="0.2">
      <c r="F477" s="34"/>
      <c r="H477" s="34"/>
      <c r="M477" s="34"/>
      <c r="N477" s="34"/>
      <c r="O477" s="35"/>
      <c r="P477" s="35"/>
      <c r="Q477" s="16"/>
    </row>
    <row r="478" spans="6:17" ht="11.25" customHeight="1" x14ac:dyDescent="0.2">
      <c r="F478" s="34"/>
      <c r="H478" s="34"/>
      <c r="M478" s="34"/>
      <c r="N478" s="34"/>
      <c r="O478" s="35"/>
      <c r="P478" s="35"/>
      <c r="Q478" s="16"/>
    </row>
    <row r="479" spans="6:17" ht="11.25" customHeight="1" x14ac:dyDescent="0.2">
      <c r="F479" s="34"/>
      <c r="H479" s="34"/>
      <c r="M479" s="34"/>
      <c r="N479" s="34"/>
      <c r="O479" s="35"/>
      <c r="P479" s="35"/>
      <c r="Q479" s="16"/>
    </row>
    <row r="480" spans="6:17" ht="11.25" customHeight="1" x14ac:dyDescent="0.2">
      <c r="F480" s="34"/>
      <c r="H480" s="34"/>
      <c r="M480" s="34"/>
      <c r="N480" s="34"/>
      <c r="O480" s="35"/>
      <c r="P480" s="35"/>
      <c r="Q480" s="16"/>
    </row>
    <row r="481" spans="6:17" ht="11.25" customHeight="1" x14ac:dyDescent="0.2">
      <c r="F481" s="34"/>
      <c r="H481" s="34"/>
      <c r="M481" s="34"/>
      <c r="N481" s="34"/>
      <c r="O481" s="35"/>
      <c r="P481" s="35"/>
      <c r="Q481" s="16"/>
    </row>
    <row r="482" spans="6:17" ht="11.25" customHeight="1" x14ac:dyDescent="0.2">
      <c r="F482" s="34"/>
      <c r="H482" s="34"/>
      <c r="M482" s="34"/>
      <c r="N482" s="34"/>
      <c r="O482" s="35"/>
      <c r="P482" s="35"/>
      <c r="Q482" s="16"/>
    </row>
    <row r="483" spans="6:17" ht="11.25" customHeight="1" x14ac:dyDescent="0.2">
      <c r="F483" s="34"/>
      <c r="H483" s="34"/>
      <c r="M483" s="34"/>
      <c r="N483" s="34"/>
      <c r="O483" s="35"/>
      <c r="P483" s="35"/>
      <c r="Q483" s="16"/>
    </row>
    <row r="484" spans="6:17" ht="11.25" customHeight="1" x14ac:dyDescent="0.2">
      <c r="F484" s="34"/>
      <c r="H484" s="34"/>
      <c r="M484" s="34"/>
      <c r="N484" s="34"/>
      <c r="O484" s="35"/>
      <c r="P484" s="35"/>
      <c r="Q484" s="16"/>
    </row>
    <row r="485" spans="6:17" ht="11.25" customHeight="1" x14ac:dyDescent="0.2">
      <c r="F485" s="34"/>
      <c r="H485" s="34"/>
      <c r="M485" s="34"/>
      <c r="N485" s="34"/>
      <c r="O485" s="35"/>
      <c r="P485" s="35"/>
      <c r="Q485" s="16"/>
    </row>
    <row r="486" spans="6:17" ht="11.25" customHeight="1" x14ac:dyDescent="0.2">
      <c r="F486" s="34"/>
      <c r="H486" s="34"/>
      <c r="M486" s="34"/>
      <c r="N486" s="34"/>
      <c r="O486" s="35"/>
      <c r="P486" s="35"/>
      <c r="Q486" s="16"/>
    </row>
    <row r="487" spans="6:17" ht="11.25" customHeight="1" x14ac:dyDescent="0.2">
      <c r="F487" s="34"/>
      <c r="H487" s="34"/>
      <c r="M487" s="34"/>
      <c r="N487" s="34"/>
      <c r="O487" s="35"/>
      <c r="P487" s="35"/>
      <c r="Q487" s="16"/>
    </row>
    <row r="488" spans="6:17" ht="11.25" customHeight="1" x14ac:dyDescent="0.2">
      <c r="F488" s="34"/>
      <c r="H488" s="34"/>
      <c r="M488" s="34"/>
      <c r="N488" s="34"/>
      <c r="O488" s="35"/>
      <c r="P488" s="35"/>
      <c r="Q488" s="16"/>
    </row>
    <row r="489" spans="6:17" ht="11.25" customHeight="1" x14ac:dyDescent="0.2">
      <c r="F489" s="34"/>
      <c r="H489" s="34"/>
      <c r="M489" s="34"/>
      <c r="N489" s="34"/>
      <c r="O489" s="35"/>
      <c r="P489" s="35"/>
      <c r="Q489" s="16"/>
    </row>
    <row r="490" spans="6:17" ht="11.25" customHeight="1" x14ac:dyDescent="0.2">
      <c r="F490" s="34"/>
      <c r="H490" s="34"/>
      <c r="M490" s="34"/>
      <c r="N490" s="34"/>
      <c r="O490" s="35"/>
      <c r="P490" s="35"/>
      <c r="Q490" s="16"/>
    </row>
    <row r="491" spans="6:17" ht="11.25" customHeight="1" x14ac:dyDescent="0.2">
      <c r="F491" s="34"/>
      <c r="H491" s="34"/>
      <c r="M491" s="34"/>
      <c r="N491" s="34"/>
      <c r="O491" s="35"/>
      <c r="P491" s="35"/>
      <c r="Q491" s="16"/>
    </row>
    <row r="492" spans="6:17" ht="11.25" customHeight="1" x14ac:dyDescent="0.2">
      <c r="F492" s="34"/>
      <c r="H492" s="34"/>
      <c r="M492" s="34"/>
      <c r="N492" s="34"/>
      <c r="O492" s="35"/>
      <c r="P492" s="35"/>
      <c r="Q492" s="16"/>
    </row>
    <row r="493" spans="6:17" ht="11.25" customHeight="1" x14ac:dyDescent="0.2">
      <c r="F493" s="34"/>
      <c r="H493" s="34"/>
      <c r="M493" s="34"/>
      <c r="N493" s="34"/>
      <c r="O493" s="35"/>
      <c r="P493" s="35"/>
      <c r="Q493" s="16"/>
    </row>
    <row r="494" spans="6:17" ht="11.25" customHeight="1" x14ac:dyDescent="0.2">
      <c r="F494" s="34"/>
      <c r="H494" s="34"/>
      <c r="M494" s="34"/>
      <c r="N494" s="34"/>
      <c r="O494" s="35"/>
      <c r="P494" s="35"/>
      <c r="Q494" s="16"/>
    </row>
    <row r="495" spans="6:17" ht="11.25" customHeight="1" x14ac:dyDescent="0.2">
      <c r="F495" s="34"/>
      <c r="H495" s="34"/>
      <c r="M495" s="34"/>
      <c r="N495" s="34"/>
      <c r="O495" s="35"/>
      <c r="P495" s="35"/>
      <c r="Q495" s="16"/>
    </row>
    <row r="496" spans="6:17" ht="11.25" customHeight="1" x14ac:dyDescent="0.2">
      <c r="F496" s="34"/>
      <c r="H496" s="34"/>
      <c r="M496" s="34"/>
      <c r="N496" s="34"/>
      <c r="O496" s="35"/>
      <c r="P496" s="35"/>
      <c r="Q496" s="16"/>
    </row>
    <row r="497" spans="6:17" ht="11.25" customHeight="1" x14ac:dyDescent="0.2">
      <c r="F497" s="34"/>
      <c r="H497" s="34"/>
      <c r="M497" s="34"/>
      <c r="N497" s="34"/>
      <c r="O497" s="35"/>
      <c r="P497" s="35"/>
      <c r="Q497" s="16"/>
    </row>
    <row r="498" spans="6:17" ht="11.25" customHeight="1" x14ac:dyDescent="0.2">
      <c r="F498" s="34"/>
      <c r="H498" s="34"/>
      <c r="M498" s="34"/>
      <c r="N498" s="34"/>
      <c r="O498" s="35"/>
      <c r="P498" s="35"/>
      <c r="Q498" s="16"/>
    </row>
    <row r="499" spans="6:17" ht="11.25" customHeight="1" x14ac:dyDescent="0.2">
      <c r="F499" s="34"/>
      <c r="H499" s="34"/>
      <c r="M499" s="34"/>
      <c r="N499" s="34"/>
      <c r="O499" s="35"/>
      <c r="P499" s="35"/>
      <c r="Q499" s="16"/>
    </row>
    <row r="500" spans="6:17" ht="11.25" customHeight="1" x14ac:dyDescent="0.2">
      <c r="F500" s="34"/>
      <c r="H500" s="34"/>
      <c r="M500" s="34"/>
      <c r="N500" s="34"/>
      <c r="O500" s="35"/>
      <c r="P500" s="35"/>
      <c r="Q500" s="16"/>
    </row>
    <row r="501" spans="6:17" ht="11.25" customHeight="1" x14ac:dyDescent="0.2">
      <c r="F501" s="34"/>
      <c r="H501" s="34"/>
      <c r="M501" s="34"/>
      <c r="N501" s="34"/>
      <c r="O501" s="35"/>
      <c r="P501" s="35"/>
      <c r="Q501" s="16"/>
    </row>
    <row r="502" spans="6:17" ht="11.25" customHeight="1" x14ac:dyDescent="0.2">
      <c r="F502" s="34"/>
      <c r="H502" s="34"/>
      <c r="M502" s="34"/>
      <c r="N502" s="34"/>
      <c r="O502" s="35"/>
      <c r="P502" s="35"/>
      <c r="Q502" s="16"/>
    </row>
    <row r="503" spans="6:17" ht="11.25" customHeight="1" x14ac:dyDescent="0.2">
      <c r="F503" s="34"/>
      <c r="H503" s="34"/>
      <c r="M503" s="34"/>
      <c r="N503" s="34"/>
      <c r="O503" s="35"/>
      <c r="P503" s="35"/>
      <c r="Q503" s="16"/>
    </row>
    <row r="504" spans="6:17" ht="11.25" customHeight="1" x14ac:dyDescent="0.2">
      <c r="F504" s="34"/>
      <c r="H504" s="34"/>
      <c r="M504" s="34"/>
      <c r="N504" s="34"/>
      <c r="O504" s="35"/>
      <c r="P504" s="35"/>
      <c r="Q504" s="16"/>
    </row>
    <row r="505" spans="6:17" ht="11.25" customHeight="1" x14ac:dyDescent="0.2">
      <c r="F505" s="34"/>
      <c r="H505" s="34"/>
      <c r="M505" s="34"/>
      <c r="N505" s="34"/>
      <c r="O505" s="35"/>
      <c r="P505" s="35"/>
      <c r="Q505" s="16"/>
    </row>
    <row r="506" spans="6:17" ht="11.25" customHeight="1" x14ac:dyDescent="0.2">
      <c r="F506" s="34"/>
      <c r="H506" s="34"/>
      <c r="M506" s="34"/>
      <c r="N506" s="34"/>
      <c r="O506" s="35"/>
      <c r="P506" s="35"/>
      <c r="Q506" s="16"/>
    </row>
    <row r="507" spans="6:17" ht="11.25" customHeight="1" x14ac:dyDescent="0.2">
      <c r="F507" s="34"/>
      <c r="H507" s="34"/>
      <c r="M507" s="34"/>
      <c r="N507" s="34"/>
      <c r="O507" s="35"/>
      <c r="P507" s="35"/>
      <c r="Q507" s="16"/>
    </row>
    <row r="508" spans="6:17" ht="11.25" customHeight="1" x14ac:dyDescent="0.2">
      <c r="F508" s="34"/>
      <c r="H508" s="34"/>
      <c r="M508" s="34"/>
      <c r="N508" s="34"/>
      <c r="O508" s="35"/>
      <c r="P508" s="35"/>
      <c r="Q508" s="16"/>
    </row>
    <row r="509" spans="6:17" ht="11.25" customHeight="1" x14ac:dyDescent="0.2">
      <c r="F509" s="34"/>
      <c r="H509" s="34"/>
      <c r="M509" s="34"/>
      <c r="N509" s="34"/>
      <c r="O509" s="35"/>
      <c r="P509" s="35"/>
      <c r="Q509" s="16"/>
    </row>
    <row r="510" spans="6:17" ht="11.25" customHeight="1" x14ac:dyDescent="0.2">
      <c r="F510" s="34"/>
      <c r="H510" s="34"/>
      <c r="M510" s="34"/>
      <c r="N510" s="34"/>
      <c r="O510" s="35"/>
      <c r="P510" s="35"/>
      <c r="Q510" s="16"/>
    </row>
    <row r="511" spans="6:17" ht="11.25" customHeight="1" x14ac:dyDescent="0.2">
      <c r="F511" s="34"/>
      <c r="H511" s="34"/>
      <c r="M511" s="34"/>
      <c r="N511" s="34"/>
      <c r="O511" s="35"/>
      <c r="P511" s="35"/>
      <c r="Q511" s="16"/>
    </row>
    <row r="512" spans="6:17" ht="11.25" customHeight="1" x14ac:dyDescent="0.2">
      <c r="F512" s="34"/>
      <c r="H512" s="34"/>
      <c r="M512" s="34"/>
      <c r="N512" s="34"/>
      <c r="O512" s="35"/>
      <c r="P512" s="35"/>
      <c r="Q512" s="16"/>
    </row>
    <row r="513" spans="6:17" ht="11.25" customHeight="1" x14ac:dyDescent="0.2">
      <c r="F513" s="34"/>
      <c r="H513" s="34"/>
      <c r="M513" s="34"/>
      <c r="N513" s="34"/>
      <c r="O513" s="35"/>
      <c r="P513" s="35"/>
      <c r="Q513" s="16"/>
    </row>
    <row r="514" spans="6:17" ht="11.25" customHeight="1" x14ac:dyDescent="0.2">
      <c r="F514" s="34"/>
      <c r="H514" s="34"/>
      <c r="M514" s="34"/>
      <c r="N514" s="34"/>
      <c r="O514" s="35"/>
      <c r="P514" s="35"/>
      <c r="Q514" s="16"/>
    </row>
    <row r="515" spans="6:17" ht="11.25" customHeight="1" x14ac:dyDescent="0.2">
      <c r="F515" s="34"/>
      <c r="H515" s="34"/>
      <c r="M515" s="34"/>
      <c r="N515" s="34"/>
      <c r="O515" s="35"/>
      <c r="P515" s="35"/>
      <c r="Q515" s="16"/>
    </row>
    <row r="516" spans="6:17" ht="11.25" customHeight="1" x14ac:dyDescent="0.2">
      <c r="F516" s="34"/>
      <c r="H516" s="34"/>
      <c r="M516" s="34"/>
      <c r="N516" s="34"/>
      <c r="O516" s="35"/>
      <c r="P516" s="35"/>
      <c r="Q516" s="16"/>
    </row>
    <row r="517" spans="6:17" ht="11.25" customHeight="1" x14ac:dyDescent="0.2">
      <c r="F517" s="34"/>
      <c r="H517" s="34"/>
      <c r="M517" s="34"/>
      <c r="N517" s="34"/>
      <c r="O517" s="35"/>
      <c r="P517" s="35"/>
      <c r="Q517" s="16"/>
    </row>
    <row r="518" spans="6:17" ht="11.25" customHeight="1" x14ac:dyDescent="0.2">
      <c r="F518" s="34"/>
      <c r="H518" s="34"/>
      <c r="M518" s="34"/>
      <c r="N518" s="34"/>
      <c r="O518" s="35"/>
      <c r="P518" s="35"/>
      <c r="Q518" s="16"/>
    </row>
    <row r="519" spans="6:17" ht="11.25" customHeight="1" x14ac:dyDescent="0.2">
      <c r="F519" s="34"/>
      <c r="H519" s="34"/>
      <c r="M519" s="34"/>
      <c r="N519" s="34"/>
      <c r="O519" s="35"/>
      <c r="P519" s="35"/>
      <c r="Q519" s="16"/>
    </row>
    <row r="520" spans="6:17" ht="11.25" customHeight="1" x14ac:dyDescent="0.2">
      <c r="F520" s="34"/>
      <c r="H520" s="34"/>
      <c r="M520" s="34"/>
      <c r="N520" s="34"/>
      <c r="O520" s="35"/>
      <c r="P520" s="35"/>
      <c r="Q520" s="16"/>
    </row>
    <row r="521" spans="6:17" ht="11.25" customHeight="1" x14ac:dyDescent="0.2">
      <c r="F521" s="34"/>
      <c r="H521" s="34"/>
      <c r="M521" s="34"/>
      <c r="N521" s="34"/>
      <c r="O521" s="35"/>
      <c r="P521" s="35"/>
      <c r="Q521" s="16"/>
    </row>
    <row r="522" spans="6:17" ht="11.25" customHeight="1" x14ac:dyDescent="0.2">
      <c r="F522" s="34"/>
      <c r="H522" s="34"/>
      <c r="M522" s="34"/>
      <c r="N522" s="34"/>
      <c r="O522" s="35"/>
      <c r="P522" s="35"/>
      <c r="Q522" s="16"/>
    </row>
    <row r="523" spans="6:17" ht="11.25" customHeight="1" x14ac:dyDescent="0.2">
      <c r="F523" s="34"/>
      <c r="H523" s="34"/>
      <c r="M523" s="34"/>
      <c r="N523" s="34"/>
      <c r="O523" s="35"/>
      <c r="P523" s="35"/>
      <c r="Q523" s="16"/>
    </row>
    <row r="524" spans="6:17" ht="11.25" customHeight="1" x14ac:dyDescent="0.2">
      <c r="F524" s="34"/>
      <c r="H524" s="34"/>
      <c r="M524" s="34"/>
      <c r="N524" s="34"/>
      <c r="O524" s="35"/>
      <c r="P524" s="35"/>
      <c r="Q524" s="16"/>
    </row>
    <row r="525" spans="6:17" ht="11.25" customHeight="1" x14ac:dyDescent="0.2">
      <c r="F525" s="34"/>
      <c r="H525" s="34"/>
      <c r="M525" s="34"/>
      <c r="N525" s="34"/>
      <c r="O525" s="35"/>
      <c r="P525" s="35"/>
      <c r="Q525" s="16"/>
    </row>
    <row r="526" spans="6:17" ht="11.25" customHeight="1" x14ac:dyDescent="0.2">
      <c r="F526" s="34"/>
      <c r="H526" s="34"/>
      <c r="M526" s="34"/>
      <c r="N526" s="34"/>
      <c r="O526" s="35"/>
      <c r="P526" s="35"/>
      <c r="Q526" s="16"/>
    </row>
    <row r="527" spans="6:17" ht="11.25" customHeight="1" x14ac:dyDescent="0.2">
      <c r="F527" s="34"/>
      <c r="H527" s="34"/>
      <c r="M527" s="34"/>
      <c r="N527" s="34"/>
      <c r="O527" s="35"/>
      <c r="P527" s="35"/>
      <c r="Q527" s="16"/>
    </row>
    <row r="528" spans="6:17" ht="11.25" customHeight="1" x14ac:dyDescent="0.2">
      <c r="F528" s="34"/>
      <c r="H528" s="34"/>
      <c r="M528" s="34"/>
      <c r="N528" s="34"/>
      <c r="O528" s="35"/>
      <c r="P528" s="35"/>
      <c r="Q528" s="16"/>
    </row>
    <row r="529" spans="6:17" ht="11.25" customHeight="1" x14ac:dyDescent="0.2">
      <c r="F529" s="34"/>
      <c r="H529" s="34"/>
      <c r="M529" s="34"/>
      <c r="N529" s="34"/>
      <c r="O529" s="35"/>
      <c r="P529" s="35"/>
      <c r="Q529" s="16"/>
    </row>
    <row r="530" spans="6:17" ht="11.25" customHeight="1" x14ac:dyDescent="0.2">
      <c r="F530" s="34"/>
      <c r="H530" s="34"/>
      <c r="M530" s="34"/>
      <c r="N530" s="34"/>
      <c r="O530" s="35"/>
      <c r="P530" s="35"/>
      <c r="Q530" s="16"/>
    </row>
    <row r="531" spans="6:17" ht="11.25" customHeight="1" x14ac:dyDescent="0.2">
      <c r="F531" s="34"/>
      <c r="H531" s="34"/>
      <c r="M531" s="34"/>
      <c r="N531" s="34"/>
      <c r="O531" s="35"/>
      <c r="P531" s="35"/>
      <c r="Q531" s="16"/>
    </row>
    <row r="532" spans="6:17" ht="11.25" customHeight="1" x14ac:dyDescent="0.2">
      <c r="F532" s="34"/>
      <c r="H532" s="34"/>
      <c r="M532" s="34"/>
      <c r="N532" s="34"/>
      <c r="O532" s="35"/>
      <c r="P532" s="35"/>
      <c r="Q532" s="16"/>
    </row>
    <row r="533" spans="6:17" ht="11.25" customHeight="1" x14ac:dyDescent="0.2">
      <c r="F533" s="34"/>
      <c r="H533" s="34"/>
      <c r="M533" s="34"/>
      <c r="N533" s="34"/>
      <c r="O533" s="35"/>
      <c r="P533" s="35"/>
      <c r="Q533" s="16"/>
    </row>
    <row r="534" spans="6:17" ht="11.25" customHeight="1" x14ac:dyDescent="0.2">
      <c r="F534" s="34"/>
      <c r="H534" s="34"/>
      <c r="M534" s="34"/>
      <c r="N534" s="34"/>
      <c r="O534" s="35"/>
      <c r="P534" s="35"/>
      <c r="Q534" s="16"/>
    </row>
    <row r="535" spans="6:17" ht="11.25" customHeight="1" x14ac:dyDescent="0.2">
      <c r="F535" s="34"/>
      <c r="H535" s="34"/>
      <c r="M535" s="34"/>
      <c r="N535" s="34"/>
      <c r="O535" s="35"/>
      <c r="P535" s="35"/>
      <c r="Q535" s="16"/>
    </row>
    <row r="536" spans="6:17" ht="11.25" customHeight="1" x14ac:dyDescent="0.2">
      <c r="F536" s="34"/>
      <c r="H536" s="34"/>
      <c r="M536" s="34"/>
      <c r="N536" s="34"/>
      <c r="O536" s="35"/>
      <c r="P536" s="35"/>
      <c r="Q536" s="16"/>
    </row>
    <row r="537" spans="6:17" ht="11.25" customHeight="1" x14ac:dyDescent="0.2">
      <c r="F537" s="34"/>
      <c r="H537" s="34"/>
      <c r="M537" s="34"/>
      <c r="N537" s="34"/>
      <c r="O537" s="35"/>
      <c r="P537" s="35"/>
      <c r="Q537" s="16"/>
    </row>
    <row r="538" spans="6:17" ht="11.25" customHeight="1" x14ac:dyDescent="0.2">
      <c r="F538" s="34"/>
      <c r="H538" s="34"/>
      <c r="M538" s="34"/>
      <c r="N538" s="34"/>
      <c r="O538" s="35"/>
      <c r="P538" s="35"/>
      <c r="Q538" s="16"/>
    </row>
    <row r="539" spans="6:17" ht="11.25" customHeight="1" x14ac:dyDescent="0.2">
      <c r="F539" s="34"/>
      <c r="H539" s="34"/>
      <c r="M539" s="34"/>
      <c r="N539" s="34"/>
      <c r="O539" s="35"/>
      <c r="P539" s="35"/>
      <c r="Q539" s="16"/>
    </row>
    <row r="540" spans="6:17" ht="11.25" customHeight="1" x14ac:dyDescent="0.2">
      <c r="F540" s="34"/>
      <c r="H540" s="34"/>
      <c r="M540" s="34"/>
      <c r="N540" s="34"/>
      <c r="O540" s="35"/>
      <c r="P540" s="35"/>
      <c r="Q540" s="16"/>
    </row>
    <row r="541" spans="6:17" ht="11.25" customHeight="1" x14ac:dyDescent="0.2">
      <c r="F541" s="34"/>
      <c r="H541" s="34"/>
      <c r="M541" s="34"/>
      <c r="N541" s="34"/>
      <c r="O541" s="35"/>
      <c r="P541" s="35"/>
      <c r="Q541" s="16"/>
    </row>
    <row r="542" spans="6:17" ht="11.25" customHeight="1" x14ac:dyDescent="0.2">
      <c r="F542" s="34"/>
      <c r="H542" s="34"/>
      <c r="M542" s="34"/>
      <c r="N542" s="34"/>
      <c r="O542" s="35"/>
      <c r="P542" s="35"/>
      <c r="Q542" s="16"/>
    </row>
    <row r="543" spans="6:17" ht="11.25" customHeight="1" x14ac:dyDescent="0.2">
      <c r="F543" s="34"/>
      <c r="H543" s="34"/>
      <c r="M543" s="34"/>
      <c r="N543" s="34"/>
      <c r="O543" s="35"/>
      <c r="P543" s="35"/>
      <c r="Q543" s="16"/>
    </row>
    <row r="544" spans="6:17" ht="11.25" customHeight="1" x14ac:dyDescent="0.2">
      <c r="F544" s="34"/>
      <c r="H544" s="34"/>
      <c r="M544" s="34"/>
      <c r="N544" s="34"/>
      <c r="O544" s="35"/>
      <c r="P544" s="35"/>
      <c r="Q544" s="16"/>
    </row>
    <row r="545" spans="6:17" ht="11.25" customHeight="1" x14ac:dyDescent="0.2">
      <c r="F545" s="34"/>
      <c r="H545" s="34"/>
      <c r="M545" s="34"/>
      <c r="N545" s="34"/>
      <c r="O545" s="35"/>
      <c r="P545" s="35"/>
      <c r="Q545" s="16"/>
    </row>
    <row r="546" spans="6:17" ht="11.25" customHeight="1" x14ac:dyDescent="0.2">
      <c r="F546" s="34"/>
      <c r="H546" s="34"/>
      <c r="M546" s="34"/>
      <c r="N546" s="34"/>
      <c r="O546" s="35"/>
      <c r="P546" s="35"/>
      <c r="Q546" s="16"/>
    </row>
    <row r="547" spans="6:17" ht="11.25" customHeight="1" x14ac:dyDescent="0.2">
      <c r="F547" s="34"/>
      <c r="H547" s="34"/>
      <c r="M547" s="34"/>
      <c r="N547" s="34"/>
      <c r="O547" s="35"/>
      <c r="P547" s="35"/>
      <c r="Q547" s="16"/>
    </row>
    <row r="548" spans="6:17" ht="11.25" customHeight="1" x14ac:dyDescent="0.2">
      <c r="F548" s="34"/>
      <c r="H548" s="34"/>
      <c r="M548" s="34"/>
      <c r="N548" s="34"/>
      <c r="O548" s="35"/>
      <c r="P548" s="35"/>
      <c r="Q548" s="16"/>
    </row>
    <row r="549" spans="6:17" ht="11.25" customHeight="1" x14ac:dyDescent="0.2">
      <c r="F549" s="34"/>
      <c r="H549" s="34"/>
      <c r="M549" s="34"/>
      <c r="N549" s="34"/>
      <c r="O549" s="35"/>
      <c r="P549" s="35"/>
      <c r="Q549" s="16"/>
    </row>
    <row r="550" spans="6:17" ht="11.25" customHeight="1" x14ac:dyDescent="0.2">
      <c r="F550" s="34"/>
      <c r="H550" s="34"/>
      <c r="M550" s="34"/>
      <c r="N550" s="34"/>
      <c r="O550" s="35"/>
      <c r="P550" s="35"/>
      <c r="Q550" s="16"/>
    </row>
    <row r="551" spans="6:17" ht="11.25" customHeight="1" x14ac:dyDescent="0.2">
      <c r="F551" s="34"/>
      <c r="H551" s="34"/>
      <c r="M551" s="34"/>
      <c r="N551" s="34"/>
      <c r="O551" s="35"/>
      <c r="P551" s="35"/>
      <c r="Q551" s="16"/>
    </row>
    <row r="552" spans="6:17" ht="11.25" customHeight="1" x14ac:dyDescent="0.2">
      <c r="F552" s="34"/>
      <c r="H552" s="34"/>
      <c r="M552" s="34"/>
      <c r="N552" s="34"/>
      <c r="O552" s="35"/>
      <c r="P552" s="35"/>
      <c r="Q552" s="16"/>
    </row>
    <row r="553" spans="6:17" ht="11.25" customHeight="1" x14ac:dyDescent="0.2">
      <c r="F553" s="34"/>
      <c r="H553" s="34"/>
      <c r="M553" s="34"/>
      <c r="N553" s="34"/>
      <c r="O553" s="35"/>
      <c r="P553" s="35"/>
      <c r="Q553" s="16"/>
    </row>
    <row r="554" spans="6:17" ht="11.25" customHeight="1" x14ac:dyDescent="0.2">
      <c r="F554" s="34"/>
      <c r="H554" s="34"/>
      <c r="M554" s="34"/>
      <c r="N554" s="34"/>
      <c r="O554" s="35"/>
      <c r="P554" s="35"/>
      <c r="Q554" s="16"/>
    </row>
    <row r="555" spans="6:17" ht="11.25" customHeight="1" x14ac:dyDescent="0.2">
      <c r="F555" s="34"/>
      <c r="H555" s="34"/>
      <c r="M555" s="34"/>
      <c r="N555" s="34"/>
      <c r="O555" s="35"/>
      <c r="P555" s="35"/>
      <c r="Q555" s="16"/>
    </row>
    <row r="556" spans="6:17" ht="11.25" customHeight="1" x14ac:dyDescent="0.2">
      <c r="F556" s="34"/>
      <c r="H556" s="34"/>
      <c r="M556" s="34"/>
      <c r="N556" s="34"/>
      <c r="O556" s="35"/>
      <c r="P556" s="35"/>
      <c r="Q556" s="16"/>
    </row>
    <row r="557" spans="6:17" ht="11.25" customHeight="1" x14ac:dyDescent="0.2">
      <c r="F557" s="34"/>
      <c r="H557" s="34"/>
      <c r="M557" s="34"/>
      <c r="N557" s="34"/>
      <c r="O557" s="35"/>
      <c r="P557" s="35"/>
      <c r="Q557" s="16"/>
    </row>
    <row r="558" spans="6:17" ht="11.25" customHeight="1" x14ac:dyDescent="0.2">
      <c r="F558" s="34"/>
      <c r="H558" s="34"/>
      <c r="M558" s="34"/>
      <c r="N558" s="34"/>
      <c r="O558" s="35"/>
      <c r="P558" s="35"/>
      <c r="Q558" s="16"/>
    </row>
    <row r="559" spans="6:17" ht="11.25" customHeight="1" x14ac:dyDescent="0.2">
      <c r="F559" s="34"/>
      <c r="H559" s="34"/>
      <c r="M559" s="34"/>
      <c r="N559" s="34"/>
      <c r="O559" s="35"/>
      <c r="P559" s="35"/>
      <c r="Q559" s="16"/>
    </row>
    <row r="560" spans="6:17" ht="11.25" customHeight="1" x14ac:dyDescent="0.2">
      <c r="F560" s="34"/>
      <c r="H560" s="34"/>
      <c r="M560" s="34"/>
      <c r="N560" s="34"/>
      <c r="O560" s="35"/>
      <c r="P560" s="35"/>
      <c r="Q560" s="16"/>
    </row>
    <row r="561" spans="6:17" ht="11.25" customHeight="1" x14ac:dyDescent="0.2">
      <c r="F561" s="34"/>
      <c r="H561" s="34"/>
      <c r="M561" s="34"/>
      <c r="N561" s="34"/>
      <c r="O561" s="35"/>
      <c r="P561" s="35"/>
      <c r="Q561" s="16"/>
    </row>
    <row r="562" spans="6:17" ht="11.25" customHeight="1" x14ac:dyDescent="0.2">
      <c r="F562" s="34"/>
      <c r="H562" s="34"/>
      <c r="M562" s="34"/>
      <c r="N562" s="34"/>
      <c r="O562" s="35"/>
      <c r="P562" s="35"/>
      <c r="Q562" s="16"/>
    </row>
    <row r="563" spans="6:17" ht="11.25" customHeight="1" x14ac:dyDescent="0.2">
      <c r="F563" s="34"/>
      <c r="H563" s="34"/>
      <c r="M563" s="34"/>
      <c r="N563" s="34"/>
      <c r="O563" s="35"/>
      <c r="P563" s="35"/>
      <c r="Q563" s="16"/>
    </row>
    <row r="564" spans="6:17" ht="11.25" customHeight="1" x14ac:dyDescent="0.2">
      <c r="F564" s="34"/>
      <c r="H564" s="34"/>
      <c r="M564" s="34"/>
      <c r="N564" s="34"/>
      <c r="O564" s="35"/>
      <c r="P564" s="35"/>
      <c r="Q564" s="16"/>
    </row>
    <row r="565" spans="6:17" ht="11.25" customHeight="1" x14ac:dyDescent="0.2">
      <c r="F565" s="34"/>
      <c r="H565" s="34"/>
      <c r="M565" s="34"/>
      <c r="N565" s="34"/>
      <c r="O565" s="35"/>
      <c r="P565" s="35"/>
      <c r="Q565" s="16"/>
    </row>
    <row r="566" spans="6:17" ht="11.25" customHeight="1" x14ac:dyDescent="0.2">
      <c r="F566" s="34"/>
      <c r="H566" s="34"/>
      <c r="M566" s="34"/>
      <c r="N566" s="34"/>
      <c r="O566" s="35"/>
      <c r="P566" s="35"/>
      <c r="Q566" s="16"/>
    </row>
    <row r="567" spans="6:17" ht="11.25" customHeight="1" x14ac:dyDescent="0.2">
      <c r="F567" s="34"/>
      <c r="H567" s="34"/>
      <c r="M567" s="34"/>
      <c r="N567" s="34"/>
      <c r="O567" s="35"/>
      <c r="P567" s="35"/>
      <c r="Q567" s="16"/>
    </row>
    <row r="568" spans="6:17" ht="11.25" customHeight="1" x14ac:dyDescent="0.2">
      <c r="F568" s="34"/>
      <c r="H568" s="34"/>
      <c r="M568" s="34"/>
      <c r="N568" s="34"/>
      <c r="O568" s="35"/>
      <c r="P568" s="35"/>
      <c r="Q568" s="16"/>
    </row>
    <row r="569" spans="6:17" ht="11.25" customHeight="1" x14ac:dyDescent="0.2">
      <c r="F569" s="34"/>
      <c r="H569" s="34"/>
      <c r="M569" s="34"/>
      <c r="N569" s="34"/>
      <c r="O569" s="35"/>
      <c r="P569" s="35"/>
      <c r="Q569" s="16"/>
    </row>
    <row r="570" spans="6:17" ht="11.25" customHeight="1" x14ac:dyDescent="0.2">
      <c r="F570" s="34"/>
      <c r="H570" s="34"/>
      <c r="M570" s="34"/>
      <c r="N570" s="34"/>
      <c r="O570" s="35"/>
      <c r="P570" s="35"/>
      <c r="Q570" s="16"/>
    </row>
    <row r="571" spans="6:17" ht="11.25" customHeight="1" x14ac:dyDescent="0.2">
      <c r="F571" s="34"/>
      <c r="H571" s="34"/>
      <c r="M571" s="34"/>
      <c r="N571" s="34"/>
      <c r="O571" s="35"/>
      <c r="P571" s="35"/>
      <c r="Q571" s="16"/>
    </row>
    <row r="572" spans="6:17" ht="11.25" customHeight="1" x14ac:dyDescent="0.2">
      <c r="F572" s="34"/>
      <c r="H572" s="34"/>
      <c r="M572" s="34"/>
      <c r="N572" s="34"/>
      <c r="O572" s="35"/>
      <c r="P572" s="35"/>
      <c r="Q572" s="16"/>
    </row>
    <row r="573" spans="6:17" ht="11.25" customHeight="1" x14ac:dyDescent="0.2">
      <c r="F573" s="34"/>
      <c r="H573" s="34"/>
      <c r="M573" s="34"/>
      <c r="N573" s="34"/>
      <c r="O573" s="35"/>
      <c r="P573" s="35"/>
      <c r="Q573" s="16"/>
    </row>
    <row r="574" spans="6:17" ht="11.25" customHeight="1" x14ac:dyDescent="0.2">
      <c r="F574" s="34"/>
      <c r="H574" s="34"/>
      <c r="M574" s="34"/>
      <c r="N574" s="34"/>
      <c r="O574" s="35"/>
      <c r="P574" s="35"/>
      <c r="Q574" s="16"/>
    </row>
    <row r="575" spans="6:17" ht="11.25" customHeight="1" x14ac:dyDescent="0.2">
      <c r="F575" s="34"/>
      <c r="H575" s="34"/>
      <c r="M575" s="34"/>
      <c r="N575" s="34"/>
      <c r="O575" s="35"/>
      <c r="P575" s="35"/>
      <c r="Q575" s="16"/>
    </row>
    <row r="576" spans="6:17" ht="11.25" customHeight="1" x14ac:dyDescent="0.2">
      <c r="F576" s="34"/>
      <c r="H576" s="34"/>
      <c r="M576" s="34"/>
      <c r="N576" s="34"/>
      <c r="O576" s="35"/>
      <c r="P576" s="35"/>
      <c r="Q576" s="16"/>
    </row>
    <row r="577" spans="6:17" ht="11.25" customHeight="1" x14ac:dyDescent="0.2">
      <c r="F577" s="34"/>
      <c r="H577" s="34"/>
      <c r="M577" s="34"/>
      <c r="N577" s="34"/>
      <c r="O577" s="35"/>
      <c r="P577" s="35"/>
      <c r="Q577" s="16"/>
    </row>
    <row r="578" spans="6:17" ht="11.25" customHeight="1" x14ac:dyDescent="0.2">
      <c r="F578" s="34"/>
      <c r="H578" s="34"/>
      <c r="M578" s="34"/>
      <c r="N578" s="34"/>
      <c r="O578" s="35"/>
      <c r="P578" s="35"/>
      <c r="Q578" s="16"/>
    </row>
    <row r="579" spans="6:17" ht="11.25" customHeight="1" x14ac:dyDescent="0.2">
      <c r="F579" s="34"/>
      <c r="H579" s="34"/>
      <c r="M579" s="34"/>
      <c r="N579" s="34"/>
      <c r="O579" s="35"/>
      <c r="P579" s="35"/>
      <c r="Q579" s="16"/>
    </row>
    <row r="580" spans="6:17" ht="11.25" customHeight="1" x14ac:dyDescent="0.2">
      <c r="F580" s="34"/>
      <c r="H580" s="34"/>
      <c r="M580" s="34"/>
      <c r="N580" s="34"/>
      <c r="O580" s="35"/>
      <c r="P580" s="35"/>
      <c r="Q580" s="16"/>
    </row>
    <row r="581" spans="6:17" ht="11.25" customHeight="1" x14ac:dyDescent="0.2">
      <c r="F581" s="34"/>
      <c r="H581" s="34"/>
      <c r="M581" s="34"/>
      <c r="N581" s="34"/>
      <c r="O581" s="35"/>
      <c r="P581" s="35"/>
      <c r="Q581" s="16"/>
    </row>
    <row r="582" spans="6:17" ht="11.25" customHeight="1" x14ac:dyDescent="0.2">
      <c r="F582" s="34"/>
      <c r="H582" s="34"/>
      <c r="M582" s="34"/>
      <c r="N582" s="34"/>
      <c r="O582" s="35"/>
      <c r="P582" s="35"/>
      <c r="Q582" s="16"/>
    </row>
    <row r="583" spans="6:17" ht="11.25" customHeight="1" x14ac:dyDescent="0.2">
      <c r="F583" s="34"/>
      <c r="H583" s="34"/>
      <c r="M583" s="34"/>
      <c r="N583" s="34"/>
      <c r="O583" s="35"/>
      <c r="P583" s="35"/>
      <c r="Q583" s="16"/>
    </row>
    <row r="584" spans="6:17" ht="11.25" customHeight="1" x14ac:dyDescent="0.2">
      <c r="F584" s="34"/>
      <c r="H584" s="34"/>
      <c r="M584" s="34"/>
      <c r="N584" s="34"/>
      <c r="O584" s="35"/>
      <c r="P584" s="35"/>
      <c r="Q584" s="16"/>
    </row>
    <row r="585" spans="6:17" ht="11.25" customHeight="1" x14ac:dyDescent="0.2">
      <c r="F585" s="34"/>
      <c r="H585" s="34"/>
      <c r="M585" s="34"/>
      <c r="N585" s="34"/>
      <c r="O585" s="35"/>
      <c r="P585" s="35"/>
      <c r="Q585" s="16"/>
    </row>
    <row r="586" spans="6:17" ht="11.25" customHeight="1" x14ac:dyDescent="0.2">
      <c r="F586" s="34"/>
      <c r="H586" s="34"/>
      <c r="M586" s="34"/>
      <c r="N586" s="34"/>
      <c r="O586" s="35"/>
      <c r="P586" s="35"/>
      <c r="Q586" s="16"/>
    </row>
    <row r="587" spans="6:17" ht="11.25" customHeight="1" x14ac:dyDescent="0.2">
      <c r="F587" s="34"/>
      <c r="H587" s="34"/>
      <c r="M587" s="34"/>
      <c r="N587" s="34"/>
      <c r="O587" s="35"/>
      <c r="P587" s="35"/>
      <c r="Q587" s="16"/>
    </row>
    <row r="588" spans="6:17" ht="11.25" customHeight="1" x14ac:dyDescent="0.2">
      <c r="F588" s="34"/>
      <c r="H588" s="34"/>
      <c r="M588" s="34"/>
      <c r="N588" s="34"/>
      <c r="O588" s="35"/>
      <c r="P588" s="35"/>
      <c r="Q588" s="16"/>
    </row>
    <row r="589" spans="6:17" ht="11.25" customHeight="1" x14ac:dyDescent="0.2">
      <c r="F589" s="34"/>
      <c r="H589" s="34"/>
      <c r="M589" s="34"/>
      <c r="N589" s="34"/>
      <c r="O589" s="35"/>
      <c r="P589" s="35"/>
      <c r="Q589" s="16"/>
    </row>
    <row r="590" spans="6:17" ht="11.25" customHeight="1" x14ac:dyDescent="0.2">
      <c r="F590" s="34"/>
      <c r="H590" s="34"/>
      <c r="M590" s="34"/>
      <c r="N590" s="34"/>
      <c r="O590" s="35"/>
      <c r="P590" s="35"/>
      <c r="Q590" s="16"/>
    </row>
    <row r="591" spans="6:17" ht="11.25" customHeight="1" x14ac:dyDescent="0.2">
      <c r="F591" s="34"/>
      <c r="H591" s="34"/>
      <c r="M591" s="34"/>
      <c r="N591" s="34"/>
      <c r="O591" s="35"/>
      <c r="P591" s="35"/>
      <c r="Q591" s="16"/>
    </row>
    <row r="592" spans="6:17" ht="11.25" customHeight="1" x14ac:dyDescent="0.2">
      <c r="F592" s="34"/>
      <c r="H592" s="34"/>
      <c r="M592" s="34"/>
      <c r="N592" s="34"/>
      <c r="O592" s="35"/>
      <c r="P592" s="35"/>
      <c r="Q592" s="16"/>
    </row>
    <row r="593" spans="6:17" ht="11.25" customHeight="1" x14ac:dyDescent="0.2">
      <c r="F593" s="34"/>
      <c r="H593" s="34"/>
      <c r="M593" s="34"/>
      <c r="N593" s="34"/>
      <c r="O593" s="35"/>
      <c r="P593" s="35"/>
      <c r="Q593" s="16"/>
    </row>
    <row r="594" spans="6:17" ht="11.25" customHeight="1" x14ac:dyDescent="0.2">
      <c r="F594" s="34"/>
      <c r="H594" s="34"/>
      <c r="M594" s="34"/>
      <c r="N594" s="34"/>
      <c r="O594" s="35"/>
      <c r="P594" s="35"/>
      <c r="Q594" s="16"/>
    </row>
    <row r="595" spans="6:17" ht="11.25" customHeight="1" x14ac:dyDescent="0.2">
      <c r="F595" s="34"/>
      <c r="H595" s="34"/>
      <c r="M595" s="34"/>
      <c r="N595" s="34"/>
      <c r="O595" s="35"/>
      <c r="P595" s="35"/>
      <c r="Q595" s="16"/>
    </row>
    <row r="596" spans="6:17" ht="11.25" customHeight="1" x14ac:dyDescent="0.2">
      <c r="F596" s="34"/>
      <c r="H596" s="34"/>
      <c r="M596" s="34"/>
      <c r="N596" s="34"/>
      <c r="O596" s="35"/>
      <c r="P596" s="35"/>
      <c r="Q596" s="16"/>
    </row>
    <row r="597" spans="6:17" ht="11.25" customHeight="1" x14ac:dyDescent="0.2">
      <c r="F597" s="34"/>
      <c r="H597" s="34"/>
      <c r="M597" s="34"/>
      <c r="N597" s="34"/>
      <c r="O597" s="35"/>
      <c r="P597" s="35"/>
      <c r="Q597" s="16"/>
    </row>
    <row r="598" spans="6:17" ht="11.25" customHeight="1" x14ac:dyDescent="0.2">
      <c r="F598" s="34"/>
      <c r="H598" s="34"/>
      <c r="M598" s="34"/>
      <c r="N598" s="34"/>
      <c r="O598" s="35"/>
      <c r="P598" s="35"/>
      <c r="Q598" s="16"/>
    </row>
    <row r="599" spans="6:17" ht="11.25" customHeight="1" x14ac:dyDescent="0.2">
      <c r="F599" s="34"/>
      <c r="H599" s="34"/>
      <c r="M599" s="34"/>
      <c r="N599" s="34"/>
      <c r="O599" s="35"/>
      <c r="P599" s="35"/>
      <c r="Q599" s="16"/>
    </row>
    <row r="600" spans="6:17" ht="11.25" customHeight="1" x14ac:dyDescent="0.2">
      <c r="F600" s="34"/>
      <c r="H600" s="34"/>
      <c r="M600" s="34"/>
      <c r="N600" s="34"/>
      <c r="O600" s="35"/>
      <c r="P600" s="35"/>
      <c r="Q600" s="16"/>
    </row>
    <row r="601" spans="6:17" ht="11.25" customHeight="1" x14ac:dyDescent="0.2">
      <c r="F601" s="34"/>
      <c r="H601" s="34"/>
      <c r="M601" s="34"/>
      <c r="N601" s="34"/>
      <c r="O601" s="35"/>
      <c r="P601" s="35"/>
      <c r="Q601" s="16"/>
    </row>
    <row r="602" spans="6:17" ht="11.25" customHeight="1" x14ac:dyDescent="0.2">
      <c r="F602" s="34"/>
      <c r="H602" s="34"/>
      <c r="M602" s="34"/>
      <c r="N602" s="34"/>
      <c r="O602" s="35"/>
      <c r="P602" s="35"/>
      <c r="Q602" s="16"/>
    </row>
    <row r="603" spans="6:17" ht="11.25" customHeight="1" x14ac:dyDescent="0.2">
      <c r="F603" s="34"/>
      <c r="H603" s="34"/>
      <c r="M603" s="34"/>
      <c r="N603" s="34"/>
      <c r="O603" s="35"/>
      <c r="P603" s="35"/>
      <c r="Q603" s="16"/>
    </row>
    <row r="604" spans="6:17" ht="11.25" customHeight="1" x14ac:dyDescent="0.2">
      <c r="F604" s="34"/>
      <c r="H604" s="34"/>
      <c r="M604" s="34"/>
      <c r="N604" s="34"/>
      <c r="O604" s="35"/>
      <c r="P604" s="35"/>
      <c r="Q604" s="16"/>
    </row>
    <row r="605" spans="6:17" ht="11.25" customHeight="1" x14ac:dyDescent="0.2">
      <c r="F605" s="34"/>
      <c r="H605" s="34"/>
      <c r="M605" s="34"/>
      <c r="N605" s="34"/>
      <c r="O605" s="35"/>
      <c r="P605" s="35"/>
      <c r="Q605" s="16"/>
    </row>
    <row r="606" spans="6:17" ht="11.25" customHeight="1" x14ac:dyDescent="0.2">
      <c r="F606" s="34"/>
      <c r="H606" s="34"/>
      <c r="M606" s="34"/>
      <c r="N606" s="34"/>
      <c r="O606" s="35"/>
      <c r="P606" s="35"/>
      <c r="Q606" s="16"/>
    </row>
    <row r="607" spans="6:17" ht="11.25" customHeight="1" x14ac:dyDescent="0.2">
      <c r="F607" s="34"/>
      <c r="H607" s="34"/>
      <c r="M607" s="34"/>
      <c r="N607" s="34"/>
      <c r="O607" s="35"/>
      <c r="P607" s="35"/>
      <c r="Q607" s="16"/>
    </row>
    <row r="608" spans="6:17" ht="11.25" customHeight="1" x14ac:dyDescent="0.2">
      <c r="F608" s="34"/>
      <c r="H608" s="34"/>
      <c r="M608" s="34"/>
      <c r="N608" s="34"/>
      <c r="O608" s="35"/>
      <c r="P608" s="35"/>
      <c r="Q608" s="16"/>
    </row>
    <row r="609" spans="6:17" ht="11.25" customHeight="1" x14ac:dyDescent="0.2">
      <c r="F609" s="34"/>
      <c r="H609" s="34"/>
      <c r="M609" s="34"/>
      <c r="N609" s="34"/>
      <c r="O609" s="35"/>
      <c r="P609" s="35"/>
      <c r="Q609" s="16"/>
    </row>
    <row r="610" spans="6:17" ht="11.25" customHeight="1" x14ac:dyDescent="0.2">
      <c r="F610" s="34"/>
      <c r="H610" s="34"/>
      <c r="M610" s="34"/>
      <c r="N610" s="34"/>
      <c r="O610" s="35"/>
      <c r="P610" s="35"/>
      <c r="Q610" s="16"/>
    </row>
    <row r="611" spans="6:17" ht="11.25" customHeight="1" x14ac:dyDescent="0.2">
      <c r="F611" s="34"/>
      <c r="H611" s="34"/>
      <c r="M611" s="34"/>
      <c r="N611" s="34"/>
      <c r="O611" s="35"/>
      <c r="P611" s="35"/>
      <c r="Q611" s="16"/>
    </row>
    <row r="612" spans="6:17" ht="11.25" customHeight="1" x14ac:dyDescent="0.2">
      <c r="F612" s="34"/>
      <c r="H612" s="34"/>
      <c r="M612" s="34"/>
      <c r="N612" s="34"/>
      <c r="O612" s="35"/>
      <c r="P612" s="35"/>
      <c r="Q612" s="16"/>
    </row>
    <row r="613" spans="6:17" ht="11.25" customHeight="1" x14ac:dyDescent="0.2">
      <c r="F613" s="34"/>
      <c r="H613" s="34"/>
      <c r="M613" s="34"/>
      <c r="N613" s="34"/>
      <c r="O613" s="35"/>
      <c r="P613" s="35"/>
      <c r="Q613" s="16"/>
    </row>
    <row r="614" spans="6:17" ht="11.25" customHeight="1" x14ac:dyDescent="0.2">
      <c r="F614" s="34"/>
      <c r="H614" s="34"/>
      <c r="M614" s="34"/>
      <c r="N614" s="34"/>
      <c r="O614" s="35"/>
      <c r="P614" s="35"/>
      <c r="Q614" s="16"/>
    </row>
    <row r="615" spans="6:17" ht="11.25" customHeight="1" x14ac:dyDescent="0.2">
      <c r="F615" s="34"/>
      <c r="H615" s="34"/>
      <c r="M615" s="34"/>
      <c r="N615" s="34"/>
      <c r="O615" s="35"/>
      <c r="P615" s="35"/>
      <c r="Q615" s="16"/>
    </row>
    <row r="616" spans="6:17" ht="11.25" customHeight="1" x14ac:dyDescent="0.2">
      <c r="F616" s="34"/>
      <c r="H616" s="34"/>
      <c r="M616" s="34"/>
      <c r="N616" s="34"/>
      <c r="O616" s="35"/>
      <c r="P616" s="35"/>
      <c r="Q616" s="16"/>
    </row>
    <row r="617" spans="6:17" ht="11.25" customHeight="1" x14ac:dyDescent="0.2">
      <c r="F617" s="34"/>
      <c r="H617" s="34"/>
      <c r="M617" s="34"/>
      <c r="N617" s="34"/>
      <c r="O617" s="35"/>
      <c r="P617" s="35"/>
      <c r="Q617" s="16"/>
    </row>
    <row r="618" spans="6:17" ht="11.25" customHeight="1" x14ac:dyDescent="0.2">
      <c r="F618" s="34"/>
      <c r="H618" s="34"/>
      <c r="M618" s="34"/>
      <c r="N618" s="34"/>
      <c r="O618" s="35"/>
      <c r="P618" s="35"/>
      <c r="Q618" s="16"/>
    </row>
    <row r="619" spans="6:17" ht="11.25" customHeight="1" x14ac:dyDescent="0.2">
      <c r="F619" s="34"/>
      <c r="H619" s="34"/>
      <c r="M619" s="34"/>
      <c r="N619" s="34"/>
      <c r="O619" s="35"/>
      <c r="P619" s="35"/>
      <c r="Q619" s="16"/>
    </row>
    <row r="620" spans="6:17" ht="11.25" customHeight="1" x14ac:dyDescent="0.2">
      <c r="F620" s="34"/>
      <c r="H620" s="34"/>
      <c r="M620" s="34"/>
      <c r="N620" s="34"/>
      <c r="O620" s="35"/>
      <c r="P620" s="35"/>
      <c r="Q620" s="16"/>
    </row>
    <row r="621" spans="6:17" ht="11.25" customHeight="1" x14ac:dyDescent="0.2">
      <c r="F621" s="34"/>
      <c r="H621" s="34"/>
      <c r="M621" s="34"/>
      <c r="N621" s="34"/>
      <c r="O621" s="35"/>
      <c r="P621" s="35"/>
      <c r="Q621" s="16"/>
    </row>
    <row r="622" spans="6:17" ht="11.25" customHeight="1" x14ac:dyDescent="0.2">
      <c r="F622" s="34"/>
      <c r="H622" s="34"/>
      <c r="M622" s="34"/>
      <c r="N622" s="34"/>
      <c r="O622" s="35"/>
      <c r="P622" s="35"/>
      <c r="Q622" s="16"/>
    </row>
    <row r="623" spans="6:17" ht="11.25" customHeight="1" x14ac:dyDescent="0.2">
      <c r="F623" s="34"/>
      <c r="H623" s="34"/>
      <c r="M623" s="34"/>
      <c r="N623" s="34"/>
      <c r="O623" s="35"/>
      <c r="P623" s="35"/>
      <c r="Q623" s="16"/>
    </row>
    <row r="624" spans="6:17" ht="11.25" customHeight="1" x14ac:dyDescent="0.2">
      <c r="F624" s="34"/>
      <c r="H624" s="34"/>
      <c r="M624" s="34"/>
      <c r="N624" s="34"/>
      <c r="O624" s="35"/>
      <c r="P624" s="35"/>
      <c r="Q624" s="16"/>
    </row>
    <row r="625" spans="6:17" ht="11.25" customHeight="1" x14ac:dyDescent="0.2">
      <c r="F625" s="34"/>
      <c r="H625" s="34"/>
      <c r="M625" s="34"/>
      <c r="N625" s="34"/>
      <c r="O625" s="35"/>
      <c r="P625" s="35"/>
      <c r="Q625" s="16"/>
    </row>
    <row r="626" spans="6:17" ht="11.25" customHeight="1" x14ac:dyDescent="0.2">
      <c r="F626" s="34"/>
      <c r="H626" s="34"/>
      <c r="M626" s="34"/>
      <c r="N626" s="34"/>
      <c r="O626" s="35"/>
      <c r="P626" s="35"/>
      <c r="Q626" s="16"/>
    </row>
    <row r="627" spans="6:17" ht="11.25" customHeight="1" x14ac:dyDescent="0.2">
      <c r="F627" s="34"/>
      <c r="H627" s="34"/>
      <c r="M627" s="34"/>
      <c r="N627" s="34"/>
      <c r="O627" s="35"/>
      <c r="P627" s="35"/>
      <c r="Q627" s="16"/>
    </row>
    <row r="628" spans="6:17" ht="11.25" customHeight="1" x14ac:dyDescent="0.2">
      <c r="F628" s="34"/>
      <c r="H628" s="34"/>
      <c r="M628" s="34"/>
      <c r="N628" s="34"/>
      <c r="O628" s="35"/>
      <c r="P628" s="35"/>
      <c r="Q628" s="16"/>
    </row>
    <row r="629" spans="6:17" ht="11.25" customHeight="1" x14ac:dyDescent="0.2">
      <c r="F629" s="34"/>
      <c r="H629" s="34"/>
      <c r="M629" s="34"/>
      <c r="N629" s="34"/>
      <c r="O629" s="35"/>
      <c r="P629" s="35"/>
      <c r="Q629" s="16"/>
    </row>
    <row r="630" spans="6:17" ht="11.25" customHeight="1" x14ac:dyDescent="0.2">
      <c r="F630" s="34"/>
      <c r="H630" s="34"/>
      <c r="M630" s="34"/>
      <c r="N630" s="34"/>
      <c r="O630" s="35"/>
      <c r="P630" s="35"/>
      <c r="Q630" s="16"/>
    </row>
    <row r="631" spans="6:17" ht="11.25" customHeight="1" x14ac:dyDescent="0.2">
      <c r="F631" s="34"/>
      <c r="H631" s="34"/>
      <c r="M631" s="34"/>
      <c r="N631" s="34"/>
      <c r="O631" s="35"/>
      <c r="P631" s="35"/>
      <c r="Q631" s="16"/>
    </row>
    <row r="632" spans="6:17" ht="11.25" customHeight="1" x14ac:dyDescent="0.2">
      <c r="F632" s="34"/>
      <c r="H632" s="34"/>
      <c r="M632" s="34"/>
      <c r="N632" s="34"/>
      <c r="O632" s="35"/>
      <c r="P632" s="35"/>
      <c r="Q632" s="16"/>
    </row>
    <row r="633" spans="6:17" ht="11.25" customHeight="1" x14ac:dyDescent="0.2">
      <c r="F633" s="34"/>
      <c r="H633" s="34"/>
      <c r="M633" s="34"/>
      <c r="N633" s="34"/>
      <c r="O633" s="35"/>
      <c r="P633" s="35"/>
      <c r="Q633" s="16"/>
    </row>
    <row r="634" spans="6:17" ht="11.25" customHeight="1" x14ac:dyDescent="0.2">
      <c r="F634" s="34"/>
      <c r="H634" s="34"/>
      <c r="M634" s="34"/>
      <c r="N634" s="34"/>
      <c r="O634" s="35"/>
      <c r="P634" s="35"/>
      <c r="Q634" s="16"/>
    </row>
    <row r="635" spans="6:17" ht="11.25" customHeight="1" x14ac:dyDescent="0.2">
      <c r="F635" s="34"/>
      <c r="H635" s="34"/>
      <c r="M635" s="34"/>
      <c r="N635" s="34"/>
      <c r="O635" s="35"/>
      <c r="P635" s="35"/>
      <c r="Q635" s="16"/>
    </row>
    <row r="636" spans="6:17" ht="11.25" customHeight="1" x14ac:dyDescent="0.2">
      <c r="F636" s="34"/>
      <c r="H636" s="34"/>
      <c r="M636" s="34"/>
      <c r="N636" s="34"/>
      <c r="O636" s="35"/>
      <c r="P636" s="35"/>
      <c r="Q636" s="16"/>
    </row>
    <row r="637" spans="6:17" ht="11.25" customHeight="1" x14ac:dyDescent="0.2">
      <c r="F637" s="34"/>
      <c r="H637" s="34"/>
      <c r="M637" s="34"/>
      <c r="N637" s="34"/>
      <c r="O637" s="35"/>
      <c r="P637" s="35"/>
      <c r="Q637" s="16"/>
    </row>
    <row r="638" spans="6:17" ht="11.25" customHeight="1" x14ac:dyDescent="0.2">
      <c r="F638" s="34"/>
      <c r="H638" s="34"/>
      <c r="M638" s="34"/>
      <c r="N638" s="34"/>
      <c r="O638" s="35"/>
      <c r="P638" s="35"/>
      <c r="Q638" s="16"/>
    </row>
    <row r="639" spans="6:17" ht="11.25" customHeight="1" x14ac:dyDescent="0.2">
      <c r="F639" s="34"/>
      <c r="H639" s="34"/>
      <c r="M639" s="34"/>
      <c r="N639" s="34"/>
      <c r="O639" s="35"/>
      <c r="P639" s="35"/>
      <c r="Q639" s="16"/>
    </row>
    <row r="640" spans="6:17" ht="11.25" customHeight="1" x14ac:dyDescent="0.2">
      <c r="F640" s="34"/>
      <c r="H640" s="34"/>
      <c r="M640" s="34"/>
      <c r="N640" s="34"/>
      <c r="O640" s="35"/>
      <c r="P640" s="35"/>
      <c r="Q640" s="16"/>
    </row>
    <row r="641" spans="6:17" ht="11.25" customHeight="1" x14ac:dyDescent="0.2">
      <c r="F641" s="34"/>
      <c r="H641" s="34"/>
      <c r="M641" s="34"/>
      <c r="N641" s="34"/>
      <c r="O641" s="35"/>
      <c r="P641" s="35"/>
      <c r="Q641" s="16"/>
    </row>
    <row r="642" spans="6:17" ht="11.25" customHeight="1" x14ac:dyDescent="0.2">
      <c r="F642" s="34"/>
      <c r="H642" s="34"/>
      <c r="M642" s="34"/>
      <c r="N642" s="34"/>
      <c r="O642" s="35"/>
      <c r="P642" s="35"/>
      <c r="Q642" s="16"/>
    </row>
    <row r="643" spans="6:17" ht="11.25" customHeight="1" x14ac:dyDescent="0.2">
      <c r="F643" s="34"/>
      <c r="H643" s="34"/>
      <c r="M643" s="34"/>
      <c r="N643" s="34"/>
      <c r="O643" s="35"/>
      <c r="P643" s="35"/>
      <c r="Q643" s="16"/>
    </row>
    <row r="644" spans="6:17" ht="11.25" customHeight="1" x14ac:dyDescent="0.2">
      <c r="F644" s="34"/>
      <c r="H644" s="34"/>
      <c r="M644" s="34"/>
      <c r="N644" s="34"/>
      <c r="O644" s="35"/>
      <c r="P644" s="35"/>
      <c r="Q644" s="16"/>
    </row>
    <row r="645" spans="6:17" ht="11.25" customHeight="1" x14ac:dyDescent="0.2">
      <c r="F645" s="34"/>
      <c r="H645" s="34"/>
      <c r="M645" s="34"/>
      <c r="N645" s="34"/>
      <c r="O645" s="35"/>
      <c r="P645" s="35"/>
      <c r="Q645" s="16"/>
    </row>
    <row r="646" spans="6:17" ht="11.25" customHeight="1" x14ac:dyDescent="0.2">
      <c r="F646" s="34"/>
      <c r="H646" s="34"/>
      <c r="M646" s="34"/>
      <c r="N646" s="34"/>
      <c r="O646" s="35"/>
      <c r="P646" s="35"/>
      <c r="Q646" s="16"/>
    </row>
    <row r="647" spans="6:17" ht="11.25" customHeight="1" x14ac:dyDescent="0.2">
      <c r="F647" s="34"/>
      <c r="H647" s="34"/>
      <c r="M647" s="34"/>
      <c r="N647" s="34"/>
      <c r="O647" s="35"/>
      <c r="P647" s="35"/>
      <c r="Q647" s="16"/>
    </row>
    <row r="648" spans="6:17" ht="11.25" customHeight="1" x14ac:dyDescent="0.2">
      <c r="F648" s="34"/>
      <c r="H648" s="34"/>
      <c r="M648" s="34"/>
      <c r="N648" s="34"/>
      <c r="O648" s="35"/>
      <c r="P648" s="35"/>
      <c r="Q648" s="16"/>
    </row>
    <row r="649" spans="6:17" ht="11.25" customHeight="1" x14ac:dyDescent="0.2">
      <c r="F649" s="34"/>
      <c r="H649" s="34"/>
      <c r="M649" s="34"/>
      <c r="N649" s="34"/>
      <c r="O649" s="35"/>
      <c r="P649" s="35"/>
      <c r="Q649" s="16"/>
    </row>
    <row r="650" spans="6:17" ht="11.25" customHeight="1" x14ac:dyDescent="0.2">
      <c r="F650" s="34"/>
      <c r="H650" s="34"/>
      <c r="M650" s="34"/>
      <c r="N650" s="34"/>
      <c r="O650" s="35"/>
      <c r="P650" s="35"/>
      <c r="Q650" s="16"/>
    </row>
    <row r="651" spans="6:17" ht="11.25" customHeight="1" x14ac:dyDescent="0.2">
      <c r="F651" s="34"/>
      <c r="H651" s="34"/>
      <c r="M651" s="34"/>
      <c r="N651" s="34"/>
      <c r="O651" s="35"/>
      <c r="P651" s="35"/>
      <c r="Q651" s="16"/>
    </row>
    <row r="652" spans="6:17" ht="11.25" customHeight="1" x14ac:dyDescent="0.2">
      <c r="F652" s="34"/>
      <c r="H652" s="34"/>
      <c r="M652" s="34"/>
      <c r="N652" s="34"/>
      <c r="O652" s="35"/>
      <c r="P652" s="35"/>
      <c r="Q652" s="16"/>
    </row>
    <row r="653" spans="6:17" ht="11.25" customHeight="1" x14ac:dyDescent="0.2">
      <c r="F653" s="34"/>
      <c r="H653" s="34"/>
      <c r="M653" s="34"/>
      <c r="N653" s="34"/>
      <c r="O653" s="35"/>
      <c r="P653" s="35"/>
      <c r="Q653" s="16"/>
    </row>
    <row r="654" spans="6:17" ht="11.25" customHeight="1" x14ac:dyDescent="0.2">
      <c r="F654" s="34"/>
      <c r="H654" s="34"/>
      <c r="M654" s="34"/>
      <c r="N654" s="34"/>
      <c r="O654" s="35"/>
      <c r="P654" s="35"/>
      <c r="Q654" s="16"/>
    </row>
    <row r="655" spans="6:17" ht="11.25" customHeight="1" x14ac:dyDescent="0.2">
      <c r="F655" s="34"/>
      <c r="H655" s="34"/>
      <c r="M655" s="34"/>
      <c r="N655" s="34"/>
      <c r="O655" s="35"/>
      <c r="P655" s="35"/>
      <c r="Q655" s="16"/>
    </row>
    <row r="656" spans="6:17" ht="11.25" customHeight="1" x14ac:dyDescent="0.2">
      <c r="F656" s="34"/>
      <c r="H656" s="34"/>
      <c r="M656" s="34"/>
      <c r="N656" s="34"/>
      <c r="O656" s="35"/>
      <c r="P656" s="35"/>
      <c r="Q656" s="16"/>
    </row>
    <row r="657" spans="6:17" ht="11.25" customHeight="1" x14ac:dyDescent="0.2">
      <c r="F657" s="34"/>
      <c r="H657" s="34"/>
      <c r="M657" s="34"/>
      <c r="N657" s="34"/>
      <c r="O657" s="35"/>
      <c r="P657" s="35"/>
      <c r="Q657" s="16"/>
    </row>
    <row r="658" spans="6:17" ht="11.25" customHeight="1" x14ac:dyDescent="0.2">
      <c r="F658" s="34"/>
      <c r="H658" s="34"/>
      <c r="M658" s="34"/>
      <c r="N658" s="34"/>
      <c r="O658" s="35"/>
      <c r="P658" s="35"/>
      <c r="Q658" s="16"/>
    </row>
    <row r="659" spans="6:17" ht="11.25" customHeight="1" x14ac:dyDescent="0.2">
      <c r="F659" s="34"/>
      <c r="H659" s="34"/>
      <c r="M659" s="34"/>
      <c r="N659" s="34"/>
      <c r="O659" s="35"/>
      <c r="P659" s="35"/>
      <c r="Q659" s="16"/>
    </row>
    <row r="660" spans="6:17" ht="11.25" customHeight="1" x14ac:dyDescent="0.2">
      <c r="F660" s="34"/>
      <c r="H660" s="34"/>
      <c r="M660" s="34"/>
      <c r="N660" s="34"/>
      <c r="O660" s="35"/>
      <c r="P660" s="35"/>
      <c r="Q660" s="16"/>
    </row>
    <row r="661" spans="6:17" ht="11.25" customHeight="1" x14ac:dyDescent="0.2">
      <c r="F661" s="34"/>
      <c r="H661" s="34"/>
      <c r="M661" s="34"/>
      <c r="N661" s="34"/>
      <c r="O661" s="35"/>
      <c r="P661" s="35"/>
      <c r="Q661" s="16"/>
    </row>
    <row r="662" spans="6:17" ht="11.25" customHeight="1" x14ac:dyDescent="0.2">
      <c r="F662" s="34"/>
      <c r="H662" s="34"/>
      <c r="M662" s="34"/>
      <c r="N662" s="34"/>
      <c r="O662" s="35"/>
      <c r="P662" s="35"/>
      <c r="Q662" s="16"/>
    </row>
    <row r="663" spans="6:17" ht="11.25" customHeight="1" x14ac:dyDescent="0.2">
      <c r="F663" s="34"/>
      <c r="H663" s="34"/>
      <c r="M663" s="34"/>
      <c r="N663" s="34"/>
      <c r="O663" s="35"/>
      <c r="P663" s="35"/>
      <c r="Q663" s="16"/>
    </row>
    <row r="664" spans="6:17" ht="11.25" customHeight="1" x14ac:dyDescent="0.2">
      <c r="F664" s="34"/>
      <c r="H664" s="34"/>
      <c r="M664" s="34"/>
      <c r="N664" s="34"/>
      <c r="O664" s="35"/>
      <c r="P664" s="35"/>
      <c r="Q664" s="16"/>
    </row>
    <row r="665" spans="6:17" ht="11.25" customHeight="1" x14ac:dyDescent="0.2">
      <c r="F665" s="34"/>
      <c r="H665" s="34"/>
      <c r="M665" s="34"/>
      <c r="N665" s="34"/>
      <c r="O665" s="35"/>
      <c r="P665" s="35"/>
      <c r="Q665" s="16"/>
    </row>
    <row r="666" spans="6:17" ht="11.25" customHeight="1" x14ac:dyDescent="0.2">
      <c r="F666" s="34"/>
      <c r="H666" s="34"/>
      <c r="M666" s="34"/>
      <c r="N666" s="34"/>
      <c r="O666" s="35"/>
      <c r="P666" s="35"/>
      <c r="Q666" s="16"/>
    </row>
    <row r="667" spans="6:17" ht="11.25" customHeight="1" x14ac:dyDescent="0.2">
      <c r="F667" s="34"/>
      <c r="H667" s="34"/>
      <c r="M667" s="34"/>
      <c r="N667" s="34"/>
      <c r="O667" s="35"/>
      <c r="P667" s="35"/>
      <c r="Q667" s="16"/>
    </row>
    <row r="668" spans="6:17" ht="11.25" customHeight="1" x14ac:dyDescent="0.2">
      <c r="F668" s="34"/>
      <c r="H668" s="34"/>
      <c r="M668" s="34"/>
      <c r="N668" s="34"/>
      <c r="O668" s="35"/>
      <c r="P668" s="35"/>
      <c r="Q668" s="16"/>
    </row>
    <row r="669" spans="6:17" ht="11.25" customHeight="1" x14ac:dyDescent="0.2">
      <c r="F669" s="34"/>
      <c r="H669" s="34"/>
      <c r="M669" s="34"/>
      <c r="N669" s="34"/>
      <c r="O669" s="35"/>
      <c r="P669" s="35"/>
      <c r="Q669" s="16"/>
    </row>
    <row r="670" spans="6:17" ht="11.25" customHeight="1" x14ac:dyDescent="0.2">
      <c r="F670" s="34"/>
      <c r="H670" s="34"/>
      <c r="M670" s="34"/>
      <c r="N670" s="34"/>
      <c r="O670" s="35"/>
      <c r="P670" s="35"/>
      <c r="Q670" s="16"/>
    </row>
    <row r="671" spans="6:17" ht="11.25" customHeight="1" x14ac:dyDescent="0.2">
      <c r="F671" s="34"/>
      <c r="H671" s="34"/>
      <c r="M671" s="34"/>
      <c r="N671" s="34"/>
      <c r="O671" s="35"/>
      <c r="P671" s="35"/>
      <c r="Q671" s="16"/>
    </row>
    <row r="672" spans="6:17" ht="11.25" customHeight="1" x14ac:dyDescent="0.2">
      <c r="F672" s="34"/>
      <c r="H672" s="34"/>
      <c r="M672" s="34"/>
      <c r="N672" s="34"/>
      <c r="O672" s="35"/>
      <c r="P672" s="35"/>
      <c r="Q672" s="16"/>
    </row>
    <row r="673" spans="6:17" ht="11.25" customHeight="1" x14ac:dyDescent="0.2">
      <c r="F673" s="34"/>
      <c r="H673" s="34"/>
      <c r="M673" s="34"/>
      <c r="N673" s="34"/>
      <c r="O673" s="35"/>
      <c r="P673" s="35"/>
      <c r="Q673" s="16"/>
    </row>
    <row r="674" spans="6:17" ht="11.25" customHeight="1" x14ac:dyDescent="0.2">
      <c r="F674" s="34"/>
      <c r="H674" s="34"/>
      <c r="M674" s="34"/>
      <c r="N674" s="34"/>
      <c r="O674" s="35"/>
      <c r="P674" s="35"/>
      <c r="Q674" s="16"/>
    </row>
    <row r="675" spans="6:17" ht="11.25" customHeight="1" x14ac:dyDescent="0.2">
      <c r="F675" s="34"/>
      <c r="H675" s="34"/>
      <c r="M675" s="34"/>
      <c r="N675" s="34"/>
      <c r="O675" s="35"/>
      <c r="P675" s="35"/>
      <c r="Q675" s="16"/>
    </row>
    <row r="676" spans="6:17" ht="11.25" customHeight="1" x14ac:dyDescent="0.2">
      <c r="F676" s="34"/>
      <c r="H676" s="34"/>
      <c r="M676" s="34"/>
      <c r="N676" s="34"/>
      <c r="O676" s="35"/>
      <c r="P676" s="35"/>
      <c r="Q676" s="16"/>
    </row>
    <row r="677" spans="6:17" ht="11.25" customHeight="1" x14ac:dyDescent="0.2">
      <c r="F677" s="34"/>
      <c r="H677" s="34"/>
      <c r="M677" s="34"/>
      <c r="N677" s="34"/>
      <c r="O677" s="35"/>
      <c r="P677" s="35"/>
      <c r="Q677" s="16"/>
    </row>
    <row r="678" spans="6:17" ht="11.25" customHeight="1" x14ac:dyDescent="0.2">
      <c r="F678" s="34"/>
      <c r="H678" s="34"/>
      <c r="M678" s="34"/>
      <c r="N678" s="34"/>
      <c r="O678" s="35"/>
      <c r="P678" s="35"/>
      <c r="Q678" s="16"/>
    </row>
    <row r="679" spans="6:17" ht="11.25" customHeight="1" x14ac:dyDescent="0.2">
      <c r="F679" s="34"/>
      <c r="H679" s="34"/>
      <c r="M679" s="34"/>
      <c r="N679" s="34"/>
      <c r="O679" s="35"/>
      <c r="P679" s="35"/>
      <c r="Q679" s="16"/>
    </row>
    <row r="680" spans="6:17" ht="11.25" customHeight="1" x14ac:dyDescent="0.2">
      <c r="F680" s="34"/>
      <c r="H680" s="34"/>
      <c r="M680" s="34"/>
      <c r="N680" s="34"/>
      <c r="O680" s="35"/>
      <c r="P680" s="35"/>
      <c r="Q680" s="16"/>
    </row>
    <row r="681" spans="6:17" ht="11.25" customHeight="1" x14ac:dyDescent="0.2">
      <c r="F681" s="34"/>
      <c r="H681" s="34"/>
      <c r="M681" s="34"/>
      <c r="N681" s="34"/>
      <c r="O681" s="35"/>
      <c r="P681" s="35"/>
      <c r="Q681" s="16"/>
    </row>
    <row r="682" spans="6:17" ht="11.25" customHeight="1" x14ac:dyDescent="0.2">
      <c r="F682" s="34"/>
      <c r="H682" s="34"/>
      <c r="M682" s="34"/>
      <c r="N682" s="34"/>
      <c r="O682" s="35"/>
      <c r="P682" s="35"/>
      <c r="Q682" s="16"/>
    </row>
    <row r="683" spans="6:17" ht="11.25" customHeight="1" x14ac:dyDescent="0.2">
      <c r="F683" s="34"/>
      <c r="H683" s="34"/>
      <c r="M683" s="34"/>
      <c r="N683" s="34"/>
      <c r="O683" s="35"/>
      <c r="P683" s="35"/>
      <c r="Q683" s="16"/>
    </row>
    <row r="684" spans="6:17" ht="11.25" customHeight="1" x14ac:dyDescent="0.2">
      <c r="F684" s="34"/>
      <c r="H684" s="34"/>
      <c r="M684" s="34"/>
      <c r="N684" s="34"/>
      <c r="O684" s="35"/>
      <c r="P684" s="35"/>
      <c r="Q684" s="16"/>
    </row>
    <row r="685" spans="6:17" ht="11.25" customHeight="1" x14ac:dyDescent="0.2">
      <c r="F685" s="34"/>
      <c r="H685" s="34"/>
      <c r="M685" s="34"/>
      <c r="N685" s="34"/>
      <c r="O685" s="35"/>
      <c r="P685" s="35"/>
      <c r="Q685" s="16"/>
    </row>
    <row r="686" spans="6:17" ht="11.25" customHeight="1" x14ac:dyDescent="0.2">
      <c r="F686" s="34"/>
      <c r="H686" s="34"/>
      <c r="M686" s="34"/>
      <c r="N686" s="34"/>
      <c r="O686" s="35"/>
      <c r="P686" s="35"/>
      <c r="Q686" s="16"/>
    </row>
    <row r="687" spans="6:17" ht="11.25" customHeight="1" x14ac:dyDescent="0.2">
      <c r="F687" s="34"/>
      <c r="H687" s="34"/>
      <c r="M687" s="34"/>
      <c r="N687" s="34"/>
      <c r="O687" s="35"/>
      <c r="P687" s="35"/>
      <c r="Q687" s="16"/>
    </row>
    <row r="688" spans="6:17" ht="11.25" customHeight="1" x14ac:dyDescent="0.2">
      <c r="F688" s="34"/>
      <c r="H688" s="34"/>
      <c r="M688" s="34"/>
      <c r="N688" s="34"/>
      <c r="O688" s="35"/>
      <c r="P688" s="35"/>
      <c r="Q688" s="16"/>
    </row>
    <row r="689" spans="6:17" ht="11.25" customHeight="1" x14ac:dyDescent="0.2">
      <c r="F689" s="34"/>
      <c r="H689" s="34"/>
      <c r="M689" s="34"/>
      <c r="N689" s="34"/>
      <c r="O689" s="35"/>
      <c r="P689" s="35"/>
      <c r="Q689" s="16"/>
    </row>
    <row r="690" spans="6:17" ht="11.25" customHeight="1" x14ac:dyDescent="0.2">
      <c r="F690" s="34"/>
      <c r="H690" s="34"/>
      <c r="M690" s="34"/>
      <c r="N690" s="34"/>
      <c r="O690" s="35"/>
      <c r="P690" s="35"/>
      <c r="Q690" s="16"/>
    </row>
    <row r="691" spans="6:17" ht="11.25" customHeight="1" x14ac:dyDescent="0.2">
      <c r="F691" s="34"/>
      <c r="H691" s="34"/>
      <c r="M691" s="34"/>
      <c r="N691" s="34"/>
      <c r="O691" s="35"/>
      <c r="P691" s="35"/>
      <c r="Q691" s="16"/>
    </row>
    <row r="692" spans="6:17" ht="11.25" customHeight="1" x14ac:dyDescent="0.2">
      <c r="F692" s="34"/>
      <c r="H692" s="34"/>
      <c r="M692" s="34"/>
      <c r="N692" s="34"/>
      <c r="O692" s="35"/>
      <c r="P692" s="35"/>
      <c r="Q692" s="16"/>
    </row>
    <row r="693" spans="6:17" ht="11.25" customHeight="1" x14ac:dyDescent="0.2">
      <c r="F693" s="34"/>
      <c r="H693" s="34"/>
      <c r="M693" s="34"/>
      <c r="N693" s="34"/>
      <c r="O693" s="35"/>
      <c r="P693" s="35"/>
      <c r="Q693" s="16"/>
    </row>
    <row r="694" spans="6:17" ht="11.25" customHeight="1" x14ac:dyDescent="0.2">
      <c r="F694" s="34"/>
      <c r="H694" s="34"/>
      <c r="M694" s="34"/>
      <c r="N694" s="34"/>
      <c r="O694" s="35"/>
      <c r="P694" s="35"/>
      <c r="Q694" s="16"/>
    </row>
    <row r="695" spans="6:17" ht="11.25" customHeight="1" x14ac:dyDescent="0.2">
      <c r="F695" s="34"/>
      <c r="H695" s="34"/>
      <c r="M695" s="34"/>
      <c r="N695" s="34"/>
      <c r="O695" s="35"/>
      <c r="P695" s="35"/>
      <c r="Q695" s="16"/>
    </row>
    <row r="696" spans="6:17" ht="11.25" customHeight="1" x14ac:dyDescent="0.2">
      <c r="F696" s="34"/>
      <c r="H696" s="34"/>
      <c r="M696" s="34"/>
      <c r="N696" s="34"/>
      <c r="O696" s="35"/>
      <c r="P696" s="35"/>
      <c r="Q696" s="16"/>
    </row>
    <row r="697" spans="6:17" ht="11.25" customHeight="1" x14ac:dyDescent="0.2">
      <c r="F697" s="34"/>
      <c r="H697" s="34"/>
      <c r="M697" s="34"/>
      <c r="N697" s="34"/>
      <c r="O697" s="35"/>
      <c r="P697" s="35"/>
      <c r="Q697" s="16"/>
    </row>
    <row r="698" spans="6:17" ht="11.25" customHeight="1" x14ac:dyDescent="0.2">
      <c r="F698" s="34"/>
      <c r="H698" s="34"/>
      <c r="M698" s="34"/>
      <c r="N698" s="34"/>
      <c r="O698" s="35"/>
      <c r="P698" s="35"/>
      <c r="Q698" s="16"/>
    </row>
    <row r="699" spans="6:17" ht="11.25" customHeight="1" x14ac:dyDescent="0.2">
      <c r="F699" s="34"/>
      <c r="H699" s="34"/>
      <c r="M699" s="34"/>
      <c r="N699" s="34"/>
      <c r="O699" s="35"/>
      <c r="P699" s="35"/>
      <c r="Q699" s="16"/>
    </row>
    <row r="700" spans="6:17" ht="11.25" customHeight="1" x14ac:dyDescent="0.2">
      <c r="F700" s="34"/>
      <c r="H700" s="34"/>
      <c r="M700" s="34"/>
      <c r="N700" s="34"/>
      <c r="O700" s="35"/>
      <c r="P700" s="35"/>
      <c r="Q700" s="16"/>
    </row>
    <row r="701" spans="6:17" ht="11.25" customHeight="1" x14ac:dyDescent="0.2">
      <c r="F701" s="34"/>
      <c r="H701" s="34"/>
      <c r="M701" s="34"/>
      <c r="N701" s="34"/>
      <c r="O701" s="35"/>
      <c r="P701" s="35"/>
      <c r="Q701" s="16"/>
    </row>
    <row r="702" spans="6:17" ht="11.25" customHeight="1" x14ac:dyDescent="0.2">
      <c r="F702" s="34"/>
      <c r="H702" s="34"/>
      <c r="M702" s="34"/>
      <c r="N702" s="34"/>
      <c r="O702" s="35"/>
      <c r="P702" s="35"/>
      <c r="Q702" s="16"/>
    </row>
    <row r="703" spans="6:17" ht="11.25" customHeight="1" x14ac:dyDescent="0.2">
      <c r="F703" s="34"/>
      <c r="H703" s="34"/>
      <c r="M703" s="34"/>
      <c r="N703" s="34"/>
      <c r="O703" s="35"/>
      <c r="P703" s="35"/>
      <c r="Q703" s="16"/>
    </row>
    <row r="704" spans="6:17" ht="11.25" customHeight="1" x14ac:dyDescent="0.2">
      <c r="F704" s="34"/>
      <c r="H704" s="34"/>
      <c r="M704" s="34"/>
      <c r="N704" s="34"/>
      <c r="O704" s="35"/>
      <c r="P704" s="35"/>
      <c r="Q704" s="16"/>
    </row>
    <row r="705" spans="6:17" ht="11.25" customHeight="1" x14ac:dyDescent="0.2">
      <c r="F705" s="34"/>
      <c r="H705" s="34"/>
      <c r="M705" s="34"/>
      <c r="N705" s="34"/>
      <c r="O705" s="35"/>
      <c r="P705" s="35"/>
      <c r="Q705" s="16"/>
    </row>
    <row r="706" spans="6:17" ht="11.25" customHeight="1" x14ac:dyDescent="0.2">
      <c r="F706" s="34"/>
      <c r="H706" s="34"/>
      <c r="M706" s="34"/>
      <c r="N706" s="34"/>
      <c r="O706" s="35"/>
      <c r="P706" s="35"/>
      <c r="Q706" s="16"/>
    </row>
    <row r="707" spans="6:17" ht="11.25" customHeight="1" x14ac:dyDescent="0.2">
      <c r="F707" s="34"/>
      <c r="H707" s="34"/>
      <c r="M707" s="34"/>
      <c r="N707" s="34"/>
      <c r="O707" s="35"/>
      <c r="P707" s="35"/>
      <c r="Q707" s="16"/>
    </row>
    <row r="708" spans="6:17" ht="11.25" customHeight="1" x14ac:dyDescent="0.2">
      <c r="F708" s="34"/>
      <c r="H708" s="34"/>
      <c r="M708" s="34"/>
      <c r="N708" s="34"/>
      <c r="O708" s="35"/>
      <c r="P708" s="35"/>
      <c r="Q708" s="16"/>
    </row>
    <row r="709" spans="6:17" ht="11.25" customHeight="1" x14ac:dyDescent="0.2">
      <c r="F709" s="34"/>
      <c r="H709" s="34"/>
      <c r="M709" s="34"/>
      <c r="N709" s="34"/>
      <c r="O709" s="35"/>
      <c r="P709" s="35"/>
      <c r="Q709" s="16"/>
    </row>
    <row r="710" spans="6:17" ht="11.25" customHeight="1" x14ac:dyDescent="0.2">
      <c r="F710" s="34"/>
      <c r="H710" s="34"/>
      <c r="M710" s="34"/>
      <c r="N710" s="34"/>
      <c r="O710" s="35"/>
      <c r="P710" s="35"/>
      <c r="Q710" s="16"/>
    </row>
    <row r="711" spans="6:17" ht="11.25" customHeight="1" x14ac:dyDescent="0.2">
      <c r="F711" s="34"/>
      <c r="H711" s="34"/>
      <c r="M711" s="34"/>
      <c r="N711" s="34"/>
      <c r="O711" s="35"/>
      <c r="P711" s="35"/>
      <c r="Q711" s="16"/>
    </row>
    <row r="712" spans="6:17" ht="11.25" customHeight="1" x14ac:dyDescent="0.2">
      <c r="F712" s="34"/>
      <c r="H712" s="34"/>
      <c r="M712" s="34"/>
      <c r="N712" s="34"/>
      <c r="O712" s="35"/>
      <c r="P712" s="35"/>
      <c r="Q712" s="16"/>
    </row>
    <row r="713" spans="6:17" ht="11.25" customHeight="1" x14ac:dyDescent="0.2">
      <c r="F713" s="34"/>
      <c r="H713" s="34"/>
      <c r="M713" s="34"/>
      <c r="N713" s="34"/>
      <c r="O713" s="35"/>
      <c r="P713" s="35"/>
      <c r="Q713" s="16"/>
    </row>
    <row r="714" spans="6:17" ht="11.25" customHeight="1" x14ac:dyDescent="0.2">
      <c r="F714" s="34"/>
      <c r="H714" s="34"/>
      <c r="M714" s="34"/>
      <c r="N714" s="34"/>
      <c r="O714" s="35"/>
      <c r="P714" s="35"/>
      <c r="Q714" s="16"/>
    </row>
    <row r="715" spans="6:17" ht="11.25" customHeight="1" x14ac:dyDescent="0.2">
      <c r="F715" s="34"/>
      <c r="H715" s="34"/>
      <c r="M715" s="34"/>
      <c r="N715" s="34"/>
      <c r="O715" s="35"/>
      <c r="P715" s="35"/>
      <c r="Q715" s="16"/>
    </row>
    <row r="716" spans="6:17" ht="11.25" customHeight="1" x14ac:dyDescent="0.2">
      <c r="F716" s="34"/>
      <c r="H716" s="34"/>
      <c r="M716" s="34"/>
      <c r="N716" s="34"/>
      <c r="O716" s="35"/>
      <c r="P716" s="35"/>
      <c r="Q716" s="16"/>
    </row>
    <row r="717" spans="6:17" ht="11.25" customHeight="1" x14ac:dyDescent="0.2">
      <c r="F717" s="34"/>
      <c r="H717" s="34"/>
      <c r="M717" s="34"/>
      <c r="N717" s="34"/>
      <c r="O717" s="35"/>
      <c r="P717" s="35"/>
      <c r="Q717" s="16"/>
    </row>
    <row r="718" spans="6:17" ht="11.25" customHeight="1" x14ac:dyDescent="0.2">
      <c r="F718" s="34"/>
      <c r="H718" s="34"/>
      <c r="M718" s="34"/>
      <c r="N718" s="34"/>
      <c r="O718" s="35"/>
      <c r="P718" s="35"/>
      <c r="Q718" s="16"/>
    </row>
    <row r="719" spans="6:17" ht="11.25" customHeight="1" x14ac:dyDescent="0.2">
      <c r="F719" s="34"/>
      <c r="H719" s="34"/>
      <c r="M719" s="34"/>
      <c r="N719" s="34"/>
      <c r="O719" s="35"/>
      <c r="P719" s="35"/>
      <c r="Q719" s="16"/>
    </row>
    <row r="720" spans="6:17" ht="11.25" customHeight="1" x14ac:dyDescent="0.2">
      <c r="F720" s="34"/>
      <c r="H720" s="34"/>
      <c r="M720" s="34"/>
      <c r="N720" s="34"/>
      <c r="O720" s="35"/>
      <c r="P720" s="35"/>
      <c r="Q720" s="16"/>
    </row>
    <row r="721" spans="6:17" ht="11.25" customHeight="1" x14ac:dyDescent="0.2">
      <c r="F721" s="34"/>
      <c r="H721" s="34"/>
      <c r="M721" s="34"/>
      <c r="N721" s="34"/>
      <c r="O721" s="35"/>
      <c r="P721" s="35"/>
      <c r="Q721" s="16"/>
    </row>
    <row r="722" spans="6:17" ht="11.25" customHeight="1" x14ac:dyDescent="0.2">
      <c r="F722" s="34"/>
      <c r="H722" s="34"/>
      <c r="M722" s="34"/>
      <c r="N722" s="34"/>
      <c r="O722" s="35"/>
      <c r="P722" s="35"/>
      <c r="Q722" s="16"/>
    </row>
    <row r="723" spans="6:17" ht="11.25" customHeight="1" x14ac:dyDescent="0.2">
      <c r="F723" s="34"/>
      <c r="H723" s="34"/>
      <c r="M723" s="34"/>
      <c r="N723" s="34"/>
      <c r="O723" s="35"/>
      <c r="P723" s="35"/>
      <c r="Q723" s="16"/>
    </row>
    <row r="724" spans="6:17" ht="11.25" customHeight="1" x14ac:dyDescent="0.2">
      <c r="F724" s="34"/>
      <c r="H724" s="34"/>
      <c r="M724" s="34"/>
      <c r="N724" s="34"/>
      <c r="O724" s="35"/>
      <c r="P724" s="35"/>
      <c r="Q724" s="16"/>
    </row>
    <row r="725" spans="6:17" ht="11.25" customHeight="1" x14ac:dyDescent="0.2">
      <c r="F725" s="34"/>
      <c r="H725" s="34"/>
      <c r="M725" s="34"/>
      <c r="N725" s="34"/>
      <c r="O725" s="35"/>
      <c r="P725" s="35"/>
      <c r="Q725" s="16"/>
    </row>
    <row r="726" spans="6:17" ht="11.25" customHeight="1" x14ac:dyDescent="0.2">
      <c r="F726" s="34"/>
      <c r="H726" s="34"/>
      <c r="M726" s="34"/>
      <c r="N726" s="34"/>
      <c r="O726" s="35"/>
      <c r="P726" s="35"/>
      <c r="Q726" s="16"/>
    </row>
    <row r="727" spans="6:17" ht="11.25" customHeight="1" x14ac:dyDescent="0.2">
      <c r="F727" s="34"/>
      <c r="H727" s="34"/>
      <c r="M727" s="34"/>
      <c r="N727" s="34"/>
      <c r="O727" s="35"/>
      <c r="P727" s="35"/>
      <c r="Q727" s="16"/>
    </row>
    <row r="728" spans="6:17" ht="11.25" customHeight="1" x14ac:dyDescent="0.2">
      <c r="F728" s="34"/>
      <c r="H728" s="34"/>
      <c r="M728" s="34"/>
      <c r="N728" s="34"/>
      <c r="O728" s="35"/>
      <c r="P728" s="35"/>
      <c r="Q728" s="16"/>
    </row>
    <row r="729" spans="6:17" ht="11.25" customHeight="1" x14ac:dyDescent="0.2">
      <c r="F729" s="34"/>
      <c r="H729" s="34"/>
      <c r="M729" s="34"/>
      <c r="N729" s="34"/>
      <c r="O729" s="35"/>
      <c r="P729" s="35"/>
      <c r="Q729" s="16"/>
    </row>
    <row r="730" spans="6:17" ht="11.25" customHeight="1" x14ac:dyDescent="0.2">
      <c r="F730" s="34"/>
      <c r="H730" s="34"/>
      <c r="M730" s="34"/>
      <c r="N730" s="34"/>
      <c r="O730" s="35"/>
      <c r="P730" s="35"/>
      <c r="Q730" s="16"/>
    </row>
    <row r="731" spans="6:17" ht="11.25" customHeight="1" x14ac:dyDescent="0.2">
      <c r="F731" s="34"/>
      <c r="H731" s="34"/>
      <c r="M731" s="34"/>
      <c r="N731" s="34"/>
      <c r="O731" s="35"/>
      <c r="P731" s="35"/>
      <c r="Q731" s="16"/>
    </row>
    <row r="732" spans="6:17" ht="11.25" customHeight="1" x14ac:dyDescent="0.2">
      <c r="F732" s="34"/>
      <c r="H732" s="34"/>
      <c r="M732" s="34"/>
      <c r="N732" s="34"/>
      <c r="O732" s="35"/>
      <c r="P732" s="35"/>
      <c r="Q732" s="16"/>
    </row>
    <row r="733" spans="6:17" ht="11.25" customHeight="1" x14ac:dyDescent="0.2">
      <c r="F733" s="34"/>
      <c r="H733" s="34"/>
      <c r="M733" s="34"/>
      <c r="N733" s="34"/>
      <c r="O733" s="35"/>
      <c r="P733" s="35"/>
      <c r="Q733" s="16"/>
    </row>
    <row r="734" spans="6:17" ht="11.25" customHeight="1" x14ac:dyDescent="0.2">
      <c r="F734" s="34"/>
      <c r="H734" s="34"/>
      <c r="M734" s="34"/>
      <c r="N734" s="34"/>
      <c r="O734" s="35"/>
      <c r="P734" s="35"/>
      <c r="Q734" s="16"/>
    </row>
    <row r="735" spans="6:17" ht="11.25" customHeight="1" x14ac:dyDescent="0.2">
      <c r="F735" s="34"/>
      <c r="H735" s="34"/>
      <c r="M735" s="34"/>
      <c r="N735" s="34"/>
      <c r="O735" s="35"/>
      <c r="P735" s="35"/>
      <c r="Q735" s="16"/>
    </row>
    <row r="736" spans="6:17" ht="11.25" customHeight="1" x14ac:dyDescent="0.2">
      <c r="F736" s="34"/>
      <c r="H736" s="34"/>
      <c r="M736" s="34"/>
      <c r="N736" s="34"/>
      <c r="O736" s="35"/>
      <c r="P736" s="35"/>
      <c r="Q736" s="16"/>
    </row>
    <row r="737" spans="6:17" ht="11.25" customHeight="1" x14ac:dyDescent="0.2">
      <c r="F737" s="34"/>
      <c r="H737" s="34"/>
      <c r="M737" s="34"/>
      <c r="N737" s="34"/>
      <c r="O737" s="35"/>
      <c r="P737" s="35"/>
      <c r="Q737" s="16"/>
    </row>
    <row r="738" spans="6:17" ht="11.25" customHeight="1" x14ac:dyDescent="0.2">
      <c r="F738" s="34"/>
      <c r="H738" s="34"/>
      <c r="M738" s="34"/>
      <c r="N738" s="34"/>
      <c r="O738" s="35"/>
      <c r="P738" s="35"/>
      <c r="Q738" s="16"/>
    </row>
    <row r="739" spans="6:17" ht="11.25" customHeight="1" x14ac:dyDescent="0.2">
      <c r="F739" s="34"/>
      <c r="H739" s="34"/>
      <c r="M739" s="34"/>
      <c r="N739" s="34"/>
      <c r="O739" s="35"/>
      <c r="P739" s="35"/>
      <c r="Q739" s="16"/>
    </row>
    <row r="740" spans="6:17" ht="11.25" customHeight="1" x14ac:dyDescent="0.2">
      <c r="F740" s="34"/>
      <c r="H740" s="34"/>
      <c r="M740" s="34"/>
      <c r="N740" s="34"/>
      <c r="O740" s="35"/>
      <c r="P740" s="35"/>
      <c r="Q740" s="16"/>
    </row>
    <row r="741" spans="6:17" ht="11.25" customHeight="1" x14ac:dyDescent="0.2">
      <c r="F741" s="34"/>
      <c r="H741" s="34"/>
      <c r="M741" s="34"/>
      <c r="N741" s="34"/>
      <c r="O741" s="35"/>
      <c r="P741" s="35"/>
      <c r="Q741" s="16"/>
    </row>
    <row r="742" spans="6:17" ht="11.25" customHeight="1" x14ac:dyDescent="0.2">
      <c r="F742" s="34"/>
      <c r="H742" s="34"/>
      <c r="M742" s="34"/>
      <c r="N742" s="34"/>
      <c r="O742" s="35"/>
      <c r="P742" s="35"/>
      <c r="Q742" s="16"/>
    </row>
    <row r="743" spans="6:17" ht="11.25" customHeight="1" x14ac:dyDescent="0.2">
      <c r="F743" s="34"/>
      <c r="H743" s="34"/>
      <c r="M743" s="34"/>
      <c r="N743" s="34"/>
      <c r="O743" s="35"/>
      <c r="P743" s="35"/>
      <c r="Q743" s="16"/>
    </row>
    <row r="744" spans="6:17" ht="11.25" customHeight="1" x14ac:dyDescent="0.2">
      <c r="F744" s="34"/>
      <c r="H744" s="34"/>
      <c r="M744" s="34"/>
      <c r="N744" s="34"/>
      <c r="O744" s="35"/>
      <c r="P744" s="35"/>
      <c r="Q744" s="16"/>
    </row>
    <row r="745" spans="6:17" ht="11.25" customHeight="1" x14ac:dyDescent="0.2">
      <c r="F745" s="34"/>
      <c r="H745" s="34"/>
      <c r="M745" s="34"/>
      <c r="N745" s="34"/>
      <c r="O745" s="35"/>
      <c r="P745" s="35"/>
      <c r="Q745" s="16"/>
    </row>
    <row r="746" spans="6:17" ht="11.25" customHeight="1" x14ac:dyDescent="0.2">
      <c r="F746" s="34"/>
      <c r="H746" s="34"/>
      <c r="M746" s="34"/>
      <c r="N746" s="34"/>
      <c r="O746" s="35"/>
      <c r="P746" s="35"/>
      <c r="Q746" s="16"/>
    </row>
    <row r="747" spans="6:17" ht="11.25" customHeight="1" x14ac:dyDescent="0.2">
      <c r="F747" s="34"/>
      <c r="H747" s="34"/>
      <c r="M747" s="34"/>
      <c r="N747" s="34"/>
      <c r="O747" s="35"/>
      <c r="P747" s="35"/>
      <c r="Q747" s="16"/>
    </row>
    <row r="748" spans="6:17" ht="11.25" customHeight="1" x14ac:dyDescent="0.2">
      <c r="F748" s="34"/>
      <c r="H748" s="34"/>
      <c r="M748" s="34"/>
      <c r="N748" s="34"/>
      <c r="O748" s="35"/>
      <c r="P748" s="35"/>
      <c r="Q748" s="16"/>
    </row>
    <row r="749" spans="6:17" ht="11.25" customHeight="1" x14ac:dyDescent="0.2">
      <c r="F749" s="34"/>
      <c r="H749" s="34"/>
      <c r="M749" s="34"/>
      <c r="N749" s="34"/>
      <c r="O749" s="35"/>
      <c r="P749" s="35"/>
      <c r="Q749" s="16"/>
    </row>
    <row r="750" spans="6:17" ht="11.25" customHeight="1" x14ac:dyDescent="0.2">
      <c r="F750" s="34"/>
      <c r="H750" s="34"/>
      <c r="M750" s="34"/>
      <c r="N750" s="34"/>
      <c r="O750" s="35"/>
      <c r="P750" s="35"/>
      <c r="Q750" s="16"/>
    </row>
    <row r="751" spans="6:17" ht="11.25" customHeight="1" x14ac:dyDescent="0.2">
      <c r="F751" s="34"/>
      <c r="H751" s="34"/>
      <c r="M751" s="34"/>
      <c r="N751" s="34"/>
      <c r="O751" s="35"/>
      <c r="P751" s="35"/>
      <c r="Q751" s="16"/>
    </row>
    <row r="752" spans="6:17" ht="11.25" customHeight="1" x14ac:dyDescent="0.2">
      <c r="F752" s="34"/>
      <c r="H752" s="34"/>
      <c r="M752" s="34"/>
      <c r="N752" s="34"/>
      <c r="O752" s="35"/>
      <c r="P752" s="35"/>
      <c r="Q752" s="16"/>
    </row>
    <row r="753" spans="6:17" ht="11.25" customHeight="1" x14ac:dyDescent="0.2">
      <c r="F753" s="34"/>
      <c r="H753" s="34"/>
      <c r="M753" s="34"/>
      <c r="N753" s="34"/>
      <c r="O753" s="35"/>
      <c r="P753" s="35"/>
      <c r="Q753" s="16"/>
    </row>
    <row r="754" spans="6:17" ht="11.25" customHeight="1" x14ac:dyDescent="0.2">
      <c r="F754" s="34"/>
      <c r="H754" s="34"/>
      <c r="M754" s="34"/>
      <c r="N754" s="34"/>
      <c r="O754" s="35"/>
      <c r="P754" s="35"/>
      <c r="Q754" s="16"/>
    </row>
    <row r="755" spans="6:17" ht="11.25" customHeight="1" x14ac:dyDescent="0.2">
      <c r="F755" s="34"/>
      <c r="H755" s="34"/>
      <c r="M755" s="34"/>
      <c r="N755" s="34"/>
      <c r="O755" s="35"/>
      <c r="P755" s="35"/>
      <c r="Q755" s="16"/>
    </row>
    <row r="756" spans="6:17" ht="11.25" customHeight="1" x14ac:dyDescent="0.2">
      <c r="F756" s="34"/>
      <c r="H756" s="34"/>
      <c r="M756" s="34"/>
      <c r="N756" s="34"/>
      <c r="O756" s="35"/>
      <c r="P756" s="35"/>
      <c r="Q756" s="16"/>
    </row>
    <row r="757" spans="6:17" ht="11.25" customHeight="1" x14ac:dyDescent="0.2">
      <c r="F757" s="34"/>
      <c r="H757" s="34"/>
      <c r="M757" s="34"/>
      <c r="N757" s="34"/>
      <c r="O757" s="35"/>
      <c r="P757" s="35"/>
      <c r="Q757" s="16"/>
    </row>
    <row r="758" spans="6:17" ht="11.25" customHeight="1" x14ac:dyDescent="0.2">
      <c r="F758" s="34"/>
      <c r="H758" s="34"/>
      <c r="M758" s="34"/>
      <c r="N758" s="34"/>
      <c r="O758" s="35"/>
      <c r="P758" s="35"/>
      <c r="Q758" s="16"/>
    </row>
    <row r="759" spans="6:17" ht="11.25" customHeight="1" x14ac:dyDescent="0.2">
      <c r="F759" s="34"/>
      <c r="H759" s="34"/>
      <c r="M759" s="34"/>
      <c r="N759" s="34"/>
      <c r="O759" s="35"/>
      <c r="P759" s="35"/>
      <c r="Q759" s="16"/>
    </row>
    <row r="760" spans="6:17" ht="11.25" customHeight="1" x14ac:dyDescent="0.2">
      <c r="F760" s="34"/>
      <c r="H760" s="34"/>
      <c r="M760" s="34"/>
      <c r="N760" s="34"/>
      <c r="O760" s="35"/>
      <c r="P760" s="35"/>
      <c r="Q760" s="16"/>
    </row>
    <row r="761" spans="6:17" ht="11.25" customHeight="1" x14ac:dyDescent="0.2">
      <c r="F761" s="34"/>
      <c r="H761" s="34"/>
      <c r="M761" s="34"/>
      <c r="N761" s="34"/>
      <c r="O761" s="35"/>
      <c r="P761" s="35"/>
      <c r="Q761" s="16"/>
    </row>
    <row r="762" spans="6:17" ht="11.25" customHeight="1" x14ac:dyDescent="0.2">
      <c r="F762" s="34"/>
      <c r="H762" s="34"/>
      <c r="M762" s="34"/>
      <c r="N762" s="34"/>
      <c r="O762" s="35"/>
      <c r="P762" s="35"/>
      <c r="Q762" s="16"/>
    </row>
    <row r="763" spans="6:17" ht="11.25" customHeight="1" x14ac:dyDescent="0.2">
      <c r="F763" s="34"/>
      <c r="H763" s="34"/>
      <c r="M763" s="34"/>
      <c r="N763" s="34"/>
      <c r="O763" s="35"/>
      <c r="P763" s="35"/>
      <c r="Q763" s="16"/>
    </row>
    <row r="764" spans="6:17" ht="11.25" customHeight="1" x14ac:dyDescent="0.2">
      <c r="F764" s="34"/>
      <c r="H764" s="34"/>
      <c r="M764" s="34"/>
      <c r="N764" s="34"/>
      <c r="O764" s="35"/>
      <c r="P764" s="35"/>
      <c r="Q764" s="16"/>
    </row>
    <row r="765" spans="6:17" ht="11.25" customHeight="1" x14ac:dyDescent="0.2">
      <c r="F765" s="34"/>
      <c r="H765" s="34"/>
      <c r="M765" s="34"/>
      <c r="N765" s="34"/>
      <c r="O765" s="35"/>
      <c r="P765" s="35"/>
      <c r="Q765" s="16"/>
    </row>
    <row r="766" spans="6:17" ht="11.25" customHeight="1" x14ac:dyDescent="0.2">
      <c r="F766" s="34"/>
      <c r="H766" s="34"/>
      <c r="M766" s="34"/>
      <c r="N766" s="34"/>
      <c r="O766" s="35"/>
      <c r="P766" s="35"/>
      <c r="Q766" s="16"/>
    </row>
    <row r="767" spans="6:17" ht="11.25" customHeight="1" x14ac:dyDescent="0.2">
      <c r="F767" s="34"/>
      <c r="H767" s="34"/>
      <c r="M767" s="34"/>
      <c r="N767" s="34"/>
      <c r="O767" s="35"/>
      <c r="P767" s="35"/>
      <c r="Q767" s="16"/>
    </row>
    <row r="768" spans="6:17" ht="11.25" customHeight="1" x14ac:dyDescent="0.2">
      <c r="F768" s="34"/>
      <c r="H768" s="34"/>
      <c r="M768" s="34"/>
      <c r="N768" s="34"/>
      <c r="O768" s="35"/>
      <c r="P768" s="35"/>
      <c r="Q768" s="16"/>
    </row>
    <row r="769" spans="6:17" ht="11.25" customHeight="1" x14ac:dyDescent="0.2">
      <c r="F769" s="34"/>
      <c r="H769" s="34"/>
      <c r="M769" s="34"/>
      <c r="N769" s="34"/>
      <c r="O769" s="35"/>
      <c r="P769" s="35"/>
      <c r="Q769" s="16"/>
    </row>
    <row r="770" spans="6:17" ht="11.25" customHeight="1" x14ac:dyDescent="0.2">
      <c r="F770" s="34"/>
      <c r="H770" s="34"/>
      <c r="M770" s="34"/>
      <c r="N770" s="34"/>
      <c r="O770" s="35"/>
      <c r="P770" s="35"/>
      <c r="Q770" s="16"/>
    </row>
    <row r="771" spans="6:17" ht="11.25" customHeight="1" x14ac:dyDescent="0.2">
      <c r="F771" s="34"/>
      <c r="H771" s="34"/>
      <c r="M771" s="34"/>
      <c r="N771" s="34"/>
      <c r="O771" s="35"/>
      <c r="P771" s="35"/>
      <c r="Q771" s="16"/>
    </row>
    <row r="772" spans="6:17" ht="11.25" customHeight="1" x14ac:dyDescent="0.2">
      <c r="F772" s="34"/>
      <c r="H772" s="34"/>
      <c r="M772" s="34"/>
      <c r="N772" s="34"/>
      <c r="O772" s="35"/>
      <c r="P772" s="35"/>
      <c r="Q772" s="16"/>
    </row>
    <row r="773" spans="6:17" ht="11.25" customHeight="1" x14ac:dyDescent="0.2">
      <c r="F773" s="34"/>
      <c r="H773" s="34"/>
      <c r="M773" s="34"/>
      <c r="N773" s="34"/>
      <c r="O773" s="35"/>
      <c r="P773" s="35"/>
      <c r="Q773" s="16"/>
    </row>
    <row r="774" spans="6:17" ht="11.25" customHeight="1" x14ac:dyDescent="0.2">
      <c r="F774" s="34"/>
      <c r="H774" s="34"/>
      <c r="M774" s="34"/>
      <c r="N774" s="34"/>
      <c r="O774" s="35"/>
      <c r="P774" s="35"/>
      <c r="Q774" s="16"/>
    </row>
    <row r="775" spans="6:17" ht="11.25" customHeight="1" x14ac:dyDescent="0.2">
      <c r="F775" s="34"/>
      <c r="H775" s="34"/>
      <c r="M775" s="34"/>
      <c r="N775" s="34"/>
      <c r="O775" s="35"/>
      <c r="P775" s="35"/>
      <c r="Q775" s="16"/>
    </row>
    <row r="776" spans="6:17" ht="11.25" customHeight="1" x14ac:dyDescent="0.2">
      <c r="F776" s="34"/>
      <c r="H776" s="34"/>
      <c r="M776" s="34"/>
      <c r="N776" s="34"/>
      <c r="O776" s="35"/>
      <c r="P776" s="35"/>
      <c r="Q776" s="16"/>
    </row>
    <row r="777" spans="6:17" ht="11.25" customHeight="1" x14ac:dyDescent="0.2">
      <c r="F777" s="34"/>
      <c r="H777" s="34"/>
      <c r="M777" s="34"/>
      <c r="N777" s="34"/>
      <c r="O777" s="35"/>
      <c r="P777" s="35"/>
      <c r="Q777" s="16"/>
    </row>
    <row r="778" spans="6:17" ht="11.25" customHeight="1" x14ac:dyDescent="0.2">
      <c r="F778" s="34"/>
      <c r="H778" s="34"/>
      <c r="M778" s="34"/>
      <c r="N778" s="34"/>
      <c r="O778" s="35"/>
      <c r="P778" s="35"/>
      <c r="Q778" s="16"/>
    </row>
    <row r="779" spans="6:17" ht="11.25" customHeight="1" x14ac:dyDescent="0.2">
      <c r="F779" s="34"/>
      <c r="H779" s="34"/>
      <c r="M779" s="34"/>
      <c r="N779" s="34"/>
      <c r="O779" s="35"/>
      <c r="P779" s="35"/>
      <c r="Q779" s="16"/>
    </row>
    <row r="780" spans="6:17" ht="11.25" customHeight="1" x14ac:dyDescent="0.2">
      <c r="F780" s="34"/>
      <c r="H780" s="34"/>
      <c r="M780" s="34"/>
      <c r="N780" s="34"/>
      <c r="O780" s="35"/>
      <c r="P780" s="35"/>
      <c r="Q780" s="16"/>
    </row>
    <row r="781" spans="6:17" ht="11.25" customHeight="1" x14ac:dyDescent="0.2">
      <c r="F781" s="34"/>
      <c r="H781" s="34"/>
      <c r="M781" s="34"/>
      <c r="N781" s="34"/>
      <c r="O781" s="35"/>
      <c r="P781" s="35"/>
      <c r="Q781" s="16"/>
    </row>
    <row r="782" spans="6:17" ht="11.25" customHeight="1" x14ac:dyDescent="0.2">
      <c r="F782" s="34"/>
      <c r="H782" s="34"/>
      <c r="M782" s="34"/>
      <c r="N782" s="34"/>
      <c r="O782" s="35"/>
      <c r="P782" s="35"/>
      <c r="Q782" s="16"/>
    </row>
    <row r="783" spans="6:17" ht="11.25" customHeight="1" x14ac:dyDescent="0.2">
      <c r="F783" s="34"/>
      <c r="H783" s="34"/>
      <c r="M783" s="34"/>
      <c r="N783" s="34"/>
      <c r="O783" s="35"/>
      <c r="P783" s="35"/>
      <c r="Q783" s="16"/>
    </row>
    <row r="784" spans="6:17" ht="11.25" customHeight="1" x14ac:dyDescent="0.2">
      <c r="F784" s="34"/>
      <c r="H784" s="34"/>
      <c r="M784" s="34"/>
      <c r="N784" s="34"/>
      <c r="O784" s="35"/>
      <c r="P784" s="35"/>
      <c r="Q784" s="16"/>
    </row>
    <row r="785" spans="6:17" ht="11.25" customHeight="1" x14ac:dyDescent="0.2">
      <c r="F785" s="34"/>
      <c r="H785" s="34"/>
      <c r="M785" s="34"/>
      <c r="N785" s="34"/>
      <c r="O785" s="35"/>
      <c r="P785" s="35"/>
      <c r="Q785" s="16"/>
    </row>
    <row r="786" spans="6:17" ht="11.25" customHeight="1" x14ac:dyDescent="0.2">
      <c r="F786" s="34"/>
      <c r="H786" s="34"/>
      <c r="M786" s="34"/>
      <c r="N786" s="34"/>
      <c r="O786" s="35"/>
      <c r="P786" s="35"/>
      <c r="Q786" s="16"/>
    </row>
    <row r="787" spans="6:17" ht="11.25" customHeight="1" x14ac:dyDescent="0.2">
      <c r="F787" s="34"/>
      <c r="H787" s="34"/>
      <c r="M787" s="34"/>
      <c r="N787" s="34"/>
      <c r="O787" s="35"/>
      <c r="P787" s="35"/>
      <c r="Q787" s="16"/>
    </row>
    <row r="788" spans="6:17" ht="11.25" customHeight="1" x14ac:dyDescent="0.2">
      <c r="F788" s="34"/>
      <c r="H788" s="34"/>
      <c r="M788" s="34"/>
      <c r="N788" s="34"/>
      <c r="O788" s="35"/>
      <c r="P788" s="35"/>
      <c r="Q788" s="16"/>
    </row>
    <row r="789" spans="6:17" ht="11.25" customHeight="1" x14ac:dyDescent="0.2">
      <c r="F789" s="34"/>
      <c r="H789" s="34"/>
      <c r="M789" s="34"/>
      <c r="N789" s="34"/>
      <c r="O789" s="35"/>
      <c r="P789" s="35"/>
      <c r="Q789" s="16"/>
    </row>
    <row r="790" spans="6:17" ht="11.25" customHeight="1" x14ac:dyDescent="0.2">
      <c r="F790" s="34"/>
      <c r="H790" s="34"/>
      <c r="M790" s="34"/>
      <c r="N790" s="34"/>
      <c r="O790" s="35"/>
      <c r="P790" s="35"/>
      <c r="Q790" s="16"/>
    </row>
    <row r="791" spans="6:17" ht="11.25" customHeight="1" x14ac:dyDescent="0.2">
      <c r="F791" s="34"/>
      <c r="H791" s="34"/>
      <c r="M791" s="34"/>
      <c r="N791" s="34"/>
      <c r="O791" s="35"/>
      <c r="P791" s="35"/>
      <c r="Q791" s="16"/>
    </row>
    <row r="792" spans="6:17" ht="11.25" customHeight="1" x14ac:dyDescent="0.2">
      <c r="F792" s="34"/>
      <c r="H792" s="34"/>
      <c r="M792" s="34"/>
      <c r="N792" s="34"/>
      <c r="O792" s="35"/>
      <c r="P792" s="35"/>
      <c r="Q792" s="16"/>
    </row>
    <row r="793" spans="6:17" ht="11.25" customHeight="1" x14ac:dyDescent="0.2">
      <c r="F793" s="34"/>
      <c r="H793" s="34"/>
      <c r="M793" s="34"/>
      <c r="N793" s="34"/>
      <c r="O793" s="35"/>
      <c r="P793" s="35"/>
      <c r="Q793" s="16"/>
    </row>
    <row r="794" spans="6:17" ht="11.25" customHeight="1" x14ac:dyDescent="0.2">
      <c r="F794" s="34"/>
      <c r="H794" s="34"/>
      <c r="M794" s="34"/>
      <c r="N794" s="34"/>
      <c r="O794" s="35"/>
      <c r="P794" s="35"/>
      <c r="Q794" s="16"/>
    </row>
    <row r="795" spans="6:17" ht="11.25" customHeight="1" x14ac:dyDescent="0.2">
      <c r="F795" s="34"/>
      <c r="H795" s="34"/>
      <c r="M795" s="34"/>
      <c r="N795" s="34"/>
      <c r="O795" s="35"/>
      <c r="P795" s="35"/>
      <c r="Q795" s="16"/>
    </row>
    <row r="796" spans="6:17" ht="11.25" customHeight="1" x14ac:dyDescent="0.2">
      <c r="F796" s="34"/>
      <c r="H796" s="34"/>
      <c r="M796" s="34"/>
      <c r="N796" s="34"/>
      <c r="O796" s="35"/>
      <c r="P796" s="35"/>
      <c r="Q796" s="16"/>
    </row>
    <row r="797" spans="6:17" ht="11.25" customHeight="1" x14ac:dyDescent="0.2">
      <c r="F797" s="34"/>
      <c r="H797" s="34"/>
      <c r="M797" s="34"/>
      <c r="N797" s="34"/>
      <c r="O797" s="35"/>
      <c r="P797" s="35"/>
      <c r="Q797" s="16"/>
    </row>
    <row r="798" spans="6:17" ht="11.25" customHeight="1" x14ac:dyDescent="0.2">
      <c r="F798" s="34"/>
      <c r="H798" s="34"/>
      <c r="M798" s="34"/>
      <c r="N798" s="34"/>
      <c r="O798" s="35"/>
      <c r="P798" s="35"/>
      <c r="Q798" s="16"/>
    </row>
    <row r="799" spans="6:17" ht="11.25" customHeight="1" x14ac:dyDescent="0.2">
      <c r="F799" s="34"/>
      <c r="H799" s="34"/>
      <c r="M799" s="34"/>
      <c r="N799" s="34"/>
      <c r="O799" s="35"/>
      <c r="P799" s="35"/>
      <c r="Q799" s="16"/>
    </row>
    <row r="800" spans="6:17" ht="11.25" customHeight="1" x14ac:dyDescent="0.2">
      <c r="F800" s="34"/>
      <c r="H800" s="34"/>
      <c r="M800" s="34"/>
      <c r="N800" s="34"/>
      <c r="O800" s="35"/>
      <c r="P800" s="35"/>
      <c r="Q800" s="16"/>
    </row>
    <row r="801" spans="6:17" ht="11.25" customHeight="1" x14ac:dyDescent="0.2">
      <c r="F801" s="34"/>
      <c r="H801" s="34"/>
      <c r="M801" s="34"/>
      <c r="N801" s="34"/>
      <c r="O801" s="35"/>
      <c r="P801" s="35"/>
      <c r="Q801" s="16"/>
    </row>
    <row r="802" spans="6:17" ht="11.25" customHeight="1" x14ac:dyDescent="0.2">
      <c r="F802" s="34"/>
      <c r="H802" s="34"/>
      <c r="M802" s="34"/>
      <c r="N802" s="34"/>
      <c r="O802" s="35"/>
      <c r="P802" s="35"/>
      <c r="Q802" s="16"/>
    </row>
    <row r="803" spans="6:17" ht="11.25" customHeight="1" x14ac:dyDescent="0.2">
      <c r="F803" s="34"/>
      <c r="H803" s="34"/>
      <c r="M803" s="34"/>
      <c r="N803" s="34"/>
      <c r="O803" s="35"/>
      <c r="P803" s="35"/>
      <c r="Q803" s="16"/>
    </row>
    <row r="804" spans="6:17" ht="11.25" customHeight="1" x14ac:dyDescent="0.2">
      <c r="F804" s="34"/>
      <c r="H804" s="34"/>
      <c r="M804" s="34"/>
      <c r="N804" s="34"/>
      <c r="O804" s="35"/>
      <c r="P804" s="35"/>
      <c r="Q804" s="16"/>
    </row>
    <row r="805" spans="6:17" ht="11.25" customHeight="1" x14ac:dyDescent="0.2">
      <c r="F805" s="34"/>
      <c r="H805" s="34"/>
      <c r="M805" s="34"/>
      <c r="N805" s="34"/>
      <c r="O805" s="35"/>
      <c r="P805" s="35"/>
      <c r="Q805" s="16"/>
    </row>
    <row r="806" spans="6:17" ht="11.25" customHeight="1" x14ac:dyDescent="0.2">
      <c r="F806" s="34"/>
      <c r="H806" s="34"/>
      <c r="M806" s="34"/>
      <c r="N806" s="34"/>
      <c r="O806" s="35"/>
      <c r="P806" s="35"/>
      <c r="Q806" s="16"/>
    </row>
    <row r="807" spans="6:17" ht="11.25" customHeight="1" x14ac:dyDescent="0.2">
      <c r="F807" s="34"/>
      <c r="H807" s="34"/>
      <c r="M807" s="34"/>
      <c r="N807" s="34"/>
      <c r="O807" s="35"/>
      <c r="P807" s="35"/>
      <c r="Q807" s="16"/>
    </row>
    <row r="808" spans="6:17" ht="11.25" customHeight="1" x14ac:dyDescent="0.2">
      <c r="F808" s="34"/>
      <c r="H808" s="34"/>
      <c r="M808" s="34"/>
      <c r="N808" s="34"/>
      <c r="O808" s="35"/>
      <c r="P808" s="35"/>
      <c r="Q808" s="16"/>
    </row>
    <row r="809" spans="6:17" ht="11.25" customHeight="1" x14ac:dyDescent="0.2">
      <c r="F809" s="34"/>
      <c r="H809" s="34"/>
      <c r="M809" s="34"/>
      <c r="N809" s="34"/>
      <c r="O809" s="35"/>
      <c r="P809" s="35"/>
      <c r="Q809" s="16"/>
    </row>
    <row r="810" spans="6:17" ht="11.25" customHeight="1" x14ac:dyDescent="0.2">
      <c r="F810" s="34"/>
      <c r="H810" s="34"/>
      <c r="M810" s="34"/>
      <c r="N810" s="34"/>
      <c r="O810" s="35"/>
      <c r="P810" s="35"/>
      <c r="Q810" s="16"/>
    </row>
    <row r="811" spans="6:17" ht="11.25" customHeight="1" x14ac:dyDescent="0.2">
      <c r="F811" s="34"/>
      <c r="H811" s="34"/>
      <c r="M811" s="34"/>
      <c r="N811" s="34"/>
      <c r="O811" s="35"/>
      <c r="P811" s="35"/>
      <c r="Q811" s="16"/>
    </row>
    <row r="812" spans="6:17" ht="11.25" customHeight="1" x14ac:dyDescent="0.2">
      <c r="F812" s="34"/>
      <c r="H812" s="34"/>
      <c r="M812" s="34"/>
      <c r="N812" s="34"/>
      <c r="O812" s="35"/>
      <c r="P812" s="35"/>
      <c r="Q812" s="16"/>
    </row>
    <row r="813" spans="6:17" ht="11.25" customHeight="1" x14ac:dyDescent="0.2">
      <c r="F813" s="34"/>
      <c r="H813" s="34"/>
      <c r="M813" s="34"/>
      <c r="N813" s="34"/>
      <c r="O813" s="35"/>
      <c r="P813" s="35"/>
      <c r="Q813" s="16"/>
    </row>
    <row r="814" spans="6:17" ht="11.25" customHeight="1" x14ac:dyDescent="0.2">
      <c r="F814" s="34"/>
      <c r="H814" s="34"/>
      <c r="M814" s="34"/>
      <c r="N814" s="34"/>
      <c r="O814" s="35"/>
      <c r="P814" s="35"/>
      <c r="Q814" s="16"/>
    </row>
    <row r="815" spans="6:17" ht="11.25" customHeight="1" x14ac:dyDescent="0.2">
      <c r="F815" s="34"/>
      <c r="H815" s="34"/>
      <c r="M815" s="34"/>
      <c r="N815" s="34"/>
      <c r="O815" s="35"/>
      <c r="P815" s="35"/>
      <c r="Q815" s="16"/>
    </row>
    <row r="816" spans="6:17" ht="11.25" customHeight="1" x14ac:dyDescent="0.2">
      <c r="F816" s="34"/>
      <c r="H816" s="34"/>
      <c r="M816" s="34"/>
      <c r="N816" s="34"/>
      <c r="O816" s="35"/>
      <c r="P816" s="35"/>
      <c r="Q816" s="16"/>
    </row>
    <row r="817" spans="6:17" ht="11.25" customHeight="1" x14ac:dyDescent="0.2">
      <c r="F817" s="34"/>
      <c r="H817" s="34"/>
      <c r="M817" s="34"/>
      <c r="N817" s="34"/>
      <c r="O817" s="35"/>
      <c r="P817" s="35"/>
      <c r="Q817" s="16"/>
    </row>
    <row r="818" spans="6:17" ht="11.25" customHeight="1" x14ac:dyDescent="0.2">
      <c r="F818" s="34"/>
      <c r="H818" s="34"/>
      <c r="M818" s="34"/>
      <c r="N818" s="34"/>
      <c r="O818" s="35"/>
      <c r="P818" s="35"/>
      <c r="Q818" s="16"/>
    </row>
    <row r="819" spans="6:17" ht="11.25" customHeight="1" x14ac:dyDescent="0.2">
      <c r="F819" s="34"/>
      <c r="H819" s="34"/>
      <c r="M819" s="34"/>
      <c r="N819" s="34"/>
      <c r="O819" s="35"/>
      <c r="P819" s="35"/>
      <c r="Q819" s="16"/>
    </row>
    <row r="820" spans="6:17" ht="11.25" customHeight="1" x14ac:dyDescent="0.2">
      <c r="F820" s="34"/>
      <c r="H820" s="34"/>
      <c r="M820" s="34"/>
      <c r="N820" s="34"/>
      <c r="O820" s="35"/>
      <c r="P820" s="35"/>
      <c r="Q820" s="16"/>
    </row>
    <row r="821" spans="6:17" ht="11.25" customHeight="1" x14ac:dyDescent="0.2">
      <c r="F821" s="34"/>
      <c r="H821" s="34"/>
      <c r="M821" s="34"/>
      <c r="N821" s="34"/>
      <c r="O821" s="35"/>
      <c r="P821" s="35"/>
      <c r="Q821" s="16"/>
    </row>
    <row r="822" spans="6:17" ht="11.25" customHeight="1" x14ac:dyDescent="0.2">
      <c r="F822" s="34"/>
      <c r="H822" s="34"/>
      <c r="M822" s="34"/>
      <c r="N822" s="34"/>
      <c r="O822" s="35"/>
      <c r="P822" s="35"/>
      <c r="Q822" s="16"/>
    </row>
    <row r="823" spans="6:17" ht="11.25" customHeight="1" x14ac:dyDescent="0.2">
      <c r="F823" s="34"/>
      <c r="H823" s="34"/>
      <c r="M823" s="34"/>
      <c r="N823" s="34"/>
      <c r="O823" s="35"/>
      <c r="P823" s="35"/>
      <c r="Q823" s="16"/>
    </row>
    <row r="824" spans="6:17" ht="11.25" customHeight="1" x14ac:dyDescent="0.2">
      <c r="F824" s="34"/>
      <c r="H824" s="34"/>
      <c r="M824" s="34"/>
      <c r="N824" s="34"/>
      <c r="O824" s="35"/>
      <c r="P824" s="35"/>
      <c r="Q824" s="16"/>
    </row>
    <row r="825" spans="6:17" ht="11.25" customHeight="1" x14ac:dyDescent="0.2">
      <c r="F825" s="34"/>
      <c r="H825" s="34"/>
      <c r="M825" s="34"/>
      <c r="N825" s="34"/>
      <c r="O825" s="35"/>
      <c r="P825" s="35"/>
      <c r="Q825" s="16"/>
    </row>
    <row r="826" spans="6:17" ht="11.25" customHeight="1" x14ac:dyDescent="0.2">
      <c r="F826" s="34"/>
      <c r="H826" s="34"/>
      <c r="M826" s="34"/>
      <c r="N826" s="34"/>
      <c r="O826" s="35"/>
      <c r="P826" s="35"/>
      <c r="Q826" s="16"/>
    </row>
    <row r="827" spans="6:17" ht="11.25" customHeight="1" x14ac:dyDescent="0.2">
      <c r="F827" s="34"/>
      <c r="H827" s="34"/>
      <c r="M827" s="34"/>
      <c r="N827" s="34"/>
      <c r="O827" s="35"/>
      <c r="P827" s="35"/>
      <c r="Q827" s="16"/>
    </row>
    <row r="828" spans="6:17" ht="11.25" customHeight="1" x14ac:dyDescent="0.2">
      <c r="F828" s="34"/>
      <c r="H828" s="34"/>
      <c r="M828" s="34"/>
      <c r="N828" s="34"/>
      <c r="O828" s="35"/>
      <c r="P828" s="35"/>
      <c r="Q828" s="16"/>
    </row>
    <row r="829" spans="6:17" ht="11.25" customHeight="1" x14ac:dyDescent="0.2">
      <c r="F829" s="34"/>
      <c r="H829" s="34"/>
      <c r="M829" s="34"/>
      <c r="N829" s="34"/>
      <c r="O829" s="35"/>
      <c r="P829" s="35"/>
      <c r="Q829" s="16"/>
    </row>
    <row r="830" spans="6:17" ht="11.25" customHeight="1" x14ac:dyDescent="0.2">
      <c r="F830" s="34"/>
      <c r="H830" s="34"/>
      <c r="M830" s="34"/>
      <c r="N830" s="34"/>
      <c r="O830" s="35"/>
      <c r="P830" s="35"/>
      <c r="Q830" s="16"/>
    </row>
    <row r="831" spans="6:17" ht="11.25" customHeight="1" x14ac:dyDescent="0.2">
      <c r="F831" s="34"/>
      <c r="H831" s="34"/>
      <c r="M831" s="34"/>
      <c r="N831" s="34"/>
      <c r="O831" s="35"/>
      <c r="P831" s="35"/>
      <c r="Q831" s="16"/>
    </row>
    <row r="832" spans="6:17" ht="11.25" customHeight="1" x14ac:dyDescent="0.2">
      <c r="F832" s="34"/>
      <c r="H832" s="34"/>
      <c r="M832" s="34"/>
      <c r="N832" s="34"/>
      <c r="O832" s="35"/>
      <c r="P832" s="35"/>
      <c r="Q832" s="16"/>
    </row>
    <row r="833" spans="6:17" ht="11.25" customHeight="1" x14ac:dyDescent="0.2">
      <c r="F833" s="34"/>
      <c r="H833" s="34"/>
      <c r="M833" s="34"/>
      <c r="N833" s="34"/>
      <c r="O833" s="35"/>
      <c r="P833" s="35"/>
      <c r="Q833" s="16"/>
    </row>
    <row r="834" spans="6:17" ht="11.25" customHeight="1" x14ac:dyDescent="0.2">
      <c r="F834" s="34"/>
      <c r="H834" s="34"/>
      <c r="M834" s="34"/>
      <c r="N834" s="34"/>
      <c r="O834" s="35"/>
      <c r="P834" s="35"/>
      <c r="Q834" s="16"/>
    </row>
    <row r="835" spans="6:17" ht="11.25" customHeight="1" x14ac:dyDescent="0.2">
      <c r="F835" s="34"/>
      <c r="H835" s="34"/>
      <c r="M835" s="34"/>
      <c r="N835" s="34"/>
      <c r="O835" s="35"/>
      <c r="P835" s="35"/>
      <c r="Q835" s="16"/>
    </row>
    <row r="836" spans="6:17" ht="11.25" customHeight="1" x14ac:dyDescent="0.2">
      <c r="F836" s="34"/>
      <c r="H836" s="34"/>
      <c r="M836" s="34"/>
      <c r="N836" s="34"/>
      <c r="O836" s="35"/>
      <c r="P836" s="35"/>
      <c r="Q836" s="16"/>
    </row>
    <row r="837" spans="6:17" ht="11.25" customHeight="1" x14ac:dyDescent="0.2">
      <c r="F837" s="34"/>
      <c r="H837" s="34"/>
      <c r="M837" s="34"/>
      <c r="N837" s="34"/>
      <c r="O837" s="35"/>
      <c r="P837" s="35"/>
      <c r="Q837" s="16"/>
    </row>
    <row r="838" spans="6:17" ht="11.25" customHeight="1" x14ac:dyDescent="0.2">
      <c r="F838" s="34"/>
      <c r="H838" s="34"/>
      <c r="M838" s="34"/>
      <c r="N838" s="34"/>
      <c r="O838" s="35"/>
      <c r="P838" s="35"/>
      <c r="Q838" s="16"/>
    </row>
    <row r="839" spans="6:17" ht="11.25" customHeight="1" x14ac:dyDescent="0.2">
      <c r="F839" s="34"/>
      <c r="H839" s="34"/>
      <c r="M839" s="34"/>
      <c r="N839" s="34"/>
      <c r="O839" s="35"/>
      <c r="P839" s="35"/>
      <c r="Q839" s="16"/>
    </row>
    <row r="840" spans="6:17" ht="11.25" customHeight="1" x14ac:dyDescent="0.2">
      <c r="F840" s="34"/>
      <c r="H840" s="34"/>
      <c r="M840" s="34"/>
      <c r="N840" s="34"/>
      <c r="O840" s="35"/>
      <c r="P840" s="35"/>
      <c r="Q840" s="16"/>
    </row>
    <row r="841" spans="6:17" ht="11.25" customHeight="1" x14ac:dyDescent="0.2">
      <c r="F841" s="34"/>
      <c r="H841" s="34"/>
      <c r="M841" s="34"/>
      <c r="N841" s="34"/>
      <c r="O841" s="35"/>
      <c r="P841" s="35"/>
      <c r="Q841" s="16"/>
    </row>
    <row r="842" spans="6:17" ht="11.25" customHeight="1" x14ac:dyDescent="0.2">
      <c r="F842" s="34"/>
      <c r="H842" s="34"/>
      <c r="M842" s="34"/>
      <c r="N842" s="34"/>
      <c r="O842" s="35"/>
      <c r="P842" s="35"/>
      <c r="Q842" s="16"/>
    </row>
    <row r="843" spans="6:17" ht="11.25" customHeight="1" x14ac:dyDescent="0.2">
      <c r="F843" s="34"/>
      <c r="H843" s="34"/>
      <c r="M843" s="34"/>
      <c r="N843" s="34"/>
      <c r="O843" s="35"/>
      <c r="P843" s="35"/>
      <c r="Q843" s="16"/>
    </row>
    <row r="844" spans="6:17" ht="11.25" customHeight="1" x14ac:dyDescent="0.2">
      <c r="F844" s="34"/>
      <c r="H844" s="34"/>
      <c r="M844" s="34"/>
      <c r="N844" s="34"/>
      <c r="O844" s="35"/>
      <c r="P844" s="35"/>
      <c r="Q844" s="16"/>
    </row>
    <row r="845" spans="6:17" ht="11.25" customHeight="1" x14ac:dyDescent="0.2">
      <c r="F845" s="34"/>
      <c r="H845" s="34"/>
      <c r="M845" s="34"/>
      <c r="N845" s="34"/>
      <c r="O845" s="35"/>
      <c r="P845" s="35"/>
      <c r="Q845" s="16"/>
    </row>
    <row r="846" spans="6:17" ht="11.25" customHeight="1" x14ac:dyDescent="0.2">
      <c r="F846" s="34"/>
      <c r="H846" s="34"/>
      <c r="M846" s="34"/>
      <c r="N846" s="34"/>
      <c r="O846" s="35"/>
      <c r="P846" s="35"/>
      <c r="Q846" s="16"/>
    </row>
    <row r="847" spans="6:17" ht="11.25" customHeight="1" x14ac:dyDescent="0.2">
      <c r="F847" s="34"/>
      <c r="H847" s="34"/>
      <c r="M847" s="34"/>
      <c r="N847" s="34"/>
      <c r="O847" s="35"/>
      <c r="P847" s="35"/>
      <c r="Q847" s="16"/>
    </row>
    <row r="848" spans="6:17" ht="11.25" customHeight="1" x14ac:dyDescent="0.2">
      <c r="F848" s="34"/>
      <c r="H848" s="34"/>
      <c r="M848" s="34"/>
      <c r="N848" s="34"/>
      <c r="O848" s="35"/>
      <c r="P848" s="35"/>
      <c r="Q848" s="16"/>
    </row>
    <row r="849" spans="6:17" ht="11.25" customHeight="1" x14ac:dyDescent="0.2">
      <c r="F849" s="34"/>
      <c r="H849" s="34"/>
      <c r="M849" s="34"/>
      <c r="N849" s="34"/>
      <c r="O849" s="35"/>
      <c r="P849" s="35"/>
      <c r="Q849" s="16"/>
    </row>
    <row r="850" spans="6:17" ht="11.25" customHeight="1" x14ac:dyDescent="0.2">
      <c r="F850" s="34"/>
      <c r="H850" s="34"/>
      <c r="M850" s="34"/>
      <c r="N850" s="34"/>
      <c r="O850" s="35"/>
      <c r="P850" s="35"/>
      <c r="Q850" s="16"/>
    </row>
    <row r="851" spans="6:17" ht="11.25" customHeight="1" x14ac:dyDescent="0.2">
      <c r="F851" s="34"/>
      <c r="H851" s="34"/>
      <c r="M851" s="34"/>
      <c r="N851" s="34"/>
      <c r="O851" s="35"/>
      <c r="P851" s="35"/>
      <c r="Q851" s="16"/>
    </row>
    <row r="852" spans="6:17" ht="11.25" customHeight="1" x14ac:dyDescent="0.2">
      <c r="F852" s="34"/>
      <c r="H852" s="34"/>
      <c r="M852" s="34"/>
      <c r="N852" s="34"/>
      <c r="O852" s="35"/>
      <c r="P852" s="35"/>
      <c r="Q852" s="16"/>
    </row>
    <row r="853" spans="6:17" ht="11.25" customHeight="1" x14ac:dyDescent="0.2">
      <c r="F853" s="34"/>
      <c r="H853" s="34"/>
      <c r="M853" s="34"/>
      <c r="N853" s="34"/>
      <c r="O853" s="35"/>
      <c r="P853" s="35"/>
      <c r="Q853" s="16"/>
    </row>
    <row r="854" spans="6:17" ht="11.25" customHeight="1" x14ac:dyDescent="0.2">
      <c r="F854" s="34"/>
      <c r="H854" s="34"/>
      <c r="M854" s="34"/>
      <c r="N854" s="34"/>
      <c r="O854" s="35"/>
      <c r="P854" s="35"/>
      <c r="Q854" s="16"/>
    </row>
    <row r="855" spans="6:17" ht="11.25" customHeight="1" x14ac:dyDescent="0.2">
      <c r="F855" s="34"/>
      <c r="H855" s="34"/>
      <c r="M855" s="34"/>
      <c r="N855" s="34"/>
      <c r="O855" s="35"/>
      <c r="P855" s="35"/>
      <c r="Q855" s="16"/>
    </row>
    <row r="856" spans="6:17" ht="11.25" customHeight="1" x14ac:dyDescent="0.2">
      <c r="F856" s="34"/>
      <c r="H856" s="34"/>
      <c r="M856" s="34"/>
      <c r="N856" s="34"/>
      <c r="O856" s="35"/>
      <c r="P856" s="35"/>
      <c r="Q856" s="16"/>
    </row>
    <row r="857" spans="6:17" ht="11.25" customHeight="1" x14ac:dyDescent="0.2">
      <c r="F857" s="34"/>
      <c r="H857" s="34"/>
      <c r="M857" s="34"/>
      <c r="N857" s="34"/>
      <c r="O857" s="35"/>
      <c r="P857" s="35"/>
      <c r="Q857" s="16"/>
    </row>
    <row r="858" spans="6:17" ht="11.25" customHeight="1" x14ac:dyDescent="0.2">
      <c r="F858" s="34"/>
      <c r="H858" s="34"/>
      <c r="M858" s="34"/>
      <c r="N858" s="34"/>
      <c r="O858" s="35"/>
      <c r="P858" s="35"/>
      <c r="Q858" s="16"/>
    </row>
    <row r="859" spans="6:17" ht="11.25" customHeight="1" x14ac:dyDescent="0.2">
      <c r="F859" s="34"/>
      <c r="H859" s="34"/>
      <c r="M859" s="34"/>
      <c r="N859" s="34"/>
      <c r="O859" s="35"/>
      <c r="P859" s="35"/>
      <c r="Q859" s="16"/>
    </row>
    <row r="860" spans="6:17" ht="11.25" customHeight="1" x14ac:dyDescent="0.2">
      <c r="F860" s="34"/>
      <c r="H860" s="34"/>
      <c r="M860" s="34"/>
      <c r="N860" s="34"/>
      <c r="O860" s="35"/>
      <c r="P860" s="35"/>
      <c r="Q860" s="16"/>
    </row>
    <row r="861" spans="6:17" ht="11.25" customHeight="1" x14ac:dyDescent="0.2">
      <c r="F861" s="34"/>
      <c r="H861" s="34"/>
      <c r="M861" s="34"/>
      <c r="N861" s="34"/>
      <c r="O861" s="35"/>
      <c r="P861" s="35"/>
      <c r="Q861" s="16"/>
    </row>
    <row r="862" spans="6:17" ht="11.25" customHeight="1" x14ac:dyDescent="0.2">
      <c r="F862" s="34"/>
      <c r="H862" s="34"/>
      <c r="M862" s="34"/>
      <c r="N862" s="34"/>
      <c r="O862" s="35"/>
      <c r="P862" s="35"/>
      <c r="Q862" s="16"/>
    </row>
    <row r="863" spans="6:17" ht="11.25" customHeight="1" x14ac:dyDescent="0.2">
      <c r="F863" s="34"/>
      <c r="H863" s="34"/>
      <c r="M863" s="34"/>
      <c r="N863" s="34"/>
      <c r="O863" s="35"/>
      <c r="P863" s="35"/>
      <c r="Q863" s="16"/>
    </row>
    <row r="864" spans="6:17" ht="11.25" customHeight="1" x14ac:dyDescent="0.2">
      <c r="F864" s="34"/>
      <c r="H864" s="34"/>
      <c r="M864" s="34"/>
      <c r="N864" s="34"/>
      <c r="O864" s="35"/>
      <c r="P864" s="35"/>
      <c r="Q864" s="16"/>
    </row>
    <row r="865" spans="6:17" ht="11.25" customHeight="1" x14ac:dyDescent="0.2">
      <c r="F865" s="34"/>
      <c r="H865" s="34"/>
      <c r="M865" s="34"/>
      <c r="N865" s="34"/>
      <c r="O865" s="35"/>
      <c r="P865" s="35"/>
      <c r="Q865" s="16"/>
    </row>
    <row r="866" spans="6:17" ht="11.25" customHeight="1" x14ac:dyDescent="0.2">
      <c r="F866" s="34"/>
      <c r="H866" s="34"/>
      <c r="M866" s="34"/>
      <c r="N866" s="34"/>
      <c r="O866" s="35"/>
      <c r="P866" s="35"/>
      <c r="Q866" s="16"/>
    </row>
    <row r="867" spans="6:17" ht="11.25" customHeight="1" x14ac:dyDescent="0.2">
      <c r="F867" s="34"/>
      <c r="H867" s="34"/>
      <c r="M867" s="34"/>
      <c r="N867" s="34"/>
      <c r="O867" s="35"/>
      <c r="P867" s="35"/>
      <c r="Q867" s="16"/>
    </row>
    <row r="868" spans="6:17" ht="11.25" customHeight="1" x14ac:dyDescent="0.2">
      <c r="F868" s="34"/>
      <c r="H868" s="34"/>
      <c r="M868" s="34"/>
      <c r="N868" s="34"/>
      <c r="O868" s="35"/>
      <c r="P868" s="35"/>
      <c r="Q868" s="16"/>
    </row>
    <row r="869" spans="6:17" ht="11.25" customHeight="1" x14ac:dyDescent="0.2">
      <c r="F869" s="34"/>
      <c r="H869" s="34"/>
      <c r="M869" s="34"/>
      <c r="N869" s="34"/>
      <c r="O869" s="35"/>
      <c r="P869" s="35"/>
      <c r="Q869" s="16"/>
    </row>
    <row r="870" spans="6:17" ht="11.25" customHeight="1" x14ac:dyDescent="0.2">
      <c r="F870" s="34"/>
      <c r="H870" s="34"/>
      <c r="M870" s="34"/>
      <c r="N870" s="34"/>
      <c r="O870" s="35"/>
      <c r="P870" s="35"/>
      <c r="Q870" s="16"/>
    </row>
    <row r="871" spans="6:17" ht="11.25" customHeight="1" x14ac:dyDescent="0.2">
      <c r="F871" s="34"/>
      <c r="H871" s="34"/>
      <c r="M871" s="34"/>
      <c r="N871" s="34"/>
      <c r="O871" s="35"/>
      <c r="P871" s="35"/>
      <c r="Q871" s="16"/>
    </row>
    <row r="872" spans="6:17" ht="11.25" customHeight="1" x14ac:dyDescent="0.2">
      <c r="F872" s="34"/>
      <c r="H872" s="34"/>
      <c r="M872" s="34"/>
      <c r="N872" s="34"/>
      <c r="O872" s="35"/>
      <c r="P872" s="35"/>
      <c r="Q872" s="16"/>
    </row>
    <row r="873" spans="6:17" ht="11.25" customHeight="1" x14ac:dyDescent="0.2">
      <c r="F873" s="34"/>
      <c r="H873" s="34"/>
      <c r="M873" s="34"/>
      <c r="N873" s="34"/>
      <c r="O873" s="35"/>
      <c r="P873" s="35"/>
      <c r="Q873" s="16"/>
    </row>
    <row r="874" spans="6:17" ht="11.25" customHeight="1" x14ac:dyDescent="0.2">
      <c r="F874" s="34"/>
      <c r="H874" s="34"/>
      <c r="M874" s="34"/>
      <c r="N874" s="34"/>
      <c r="O874" s="35"/>
      <c r="P874" s="35"/>
      <c r="Q874" s="16"/>
    </row>
    <row r="875" spans="6:17" ht="11.25" customHeight="1" x14ac:dyDescent="0.2">
      <c r="F875" s="34"/>
      <c r="H875" s="34"/>
      <c r="M875" s="34"/>
      <c r="N875" s="34"/>
      <c r="O875" s="35"/>
      <c r="P875" s="35"/>
      <c r="Q875" s="16"/>
    </row>
    <row r="876" spans="6:17" ht="11.25" customHeight="1" x14ac:dyDescent="0.2">
      <c r="F876" s="34"/>
      <c r="H876" s="34"/>
      <c r="M876" s="34"/>
      <c r="N876" s="34"/>
      <c r="O876" s="35"/>
      <c r="P876" s="35"/>
      <c r="Q876" s="16"/>
    </row>
    <row r="877" spans="6:17" ht="11.25" customHeight="1" x14ac:dyDescent="0.2">
      <c r="F877" s="34"/>
      <c r="H877" s="34"/>
      <c r="M877" s="34"/>
      <c r="N877" s="34"/>
      <c r="O877" s="35"/>
      <c r="P877" s="35"/>
      <c r="Q877" s="16"/>
    </row>
    <row r="878" spans="6:17" ht="11.25" customHeight="1" x14ac:dyDescent="0.2">
      <c r="F878" s="34"/>
      <c r="H878" s="34"/>
      <c r="M878" s="34"/>
      <c r="N878" s="34"/>
      <c r="O878" s="35"/>
      <c r="P878" s="35"/>
      <c r="Q878" s="16"/>
    </row>
    <row r="879" spans="6:17" ht="11.25" customHeight="1" x14ac:dyDescent="0.2">
      <c r="F879" s="34"/>
      <c r="H879" s="34"/>
      <c r="M879" s="34"/>
      <c r="N879" s="34"/>
      <c r="O879" s="35"/>
      <c r="P879" s="35"/>
      <c r="Q879" s="16"/>
    </row>
    <row r="880" spans="6:17" ht="11.25" customHeight="1" x14ac:dyDescent="0.2">
      <c r="F880" s="34"/>
      <c r="H880" s="34"/>
      <c r="M880" s="34"/>
      <c r="N880" s="34"/>
      <c r="O880" s="35"/>
      <c r="P880" s="35"/>
      <c r="Q880" s="16"/>
    </row>
    <row r="881" spans="6:17" ht="11.25" customHeight="1" x14ac:dyDescent="0.2">
      <c r="F881" s="34"/>
      <c r="H881" s="34"/>
      <c r="M881" s="34"/>
      <c r="N881" s="34"/>
      <c r="O881" s="35"/>
      <c r="P881" s="35"/>
      <c r="Q881" s="16"/>
    </row>
    <row r="882" spans="6:17" ht="11.25" customHeight="1" x14ac:dyDescent="0.2">
      <c r="F882" s="34"/>
      <c r="H882" s="34"/>
      <c r="M882" s="34"/>
      <c r="N882" s="34"/>
      <c r="O882" s="35"/>
      <c r="P882" s="35"/>
      <c r="Q882" s="16"/>
    </row>
    <row r="883" spans="6:17" ht="11.25" customHeight="1" x14ac:dyDescent="0.2">
      <c r="F883" s="34"/>
      <c r="H883" s="34"/>
      <c r="M883" s="34"/>
      <c r="N883" s="34"/>
      <c r="O883" s="35"/>
      <c r="P883" s="35"/>
      <c r="Q883" s="16"/>
    </row>
    <row r="884" spans="6:17" ht="11.25" customHeight="1" x14ac:dyDescent="0.2">
      <c r="F884" s="34"/>
      <c r="H884" s="34"/>
      <c r="M884" s="34"/>
      <c r="N884" s="34"/>
      <c r="O884" s="35"/>
      <c r="P884" s="35"/>
      <c r="Q884" s="16"/>
    </row>
    <row r="885" spans="6:17" ht="11.25" customHeight="1" x14ac:dyDescent="0.2">
      <c r="F885" s="34"/>
      <c r="H885" s="34"/>
      <c r="M885" s="34"/>
      <c r="N885" s="34"/>
      <c r="O885" s="35"/>
      <c r="P885" s="35"/>
      <c r="Q885" s="16"/>
    </row>
    <row r="886" spans="6:17" ht="11.25" customHeight="1" x14ac:dyDescent="0.2">
      <c r="F886" s="34"/>
      <c r="H886" s="34"/>
      <c r="M886" s="34"/>
      <c r="N886" s="34"/>
      <c r="O886" s="35"/>
      <c r="P886" s="35"/>
      <c r="Q886" s="16"/>
    </row>
    <row r="887" spans="6:17" ht="11.25" customHeight="1" x14ac:dyDescent="0.2">
      <c r="F887" s="34"/>
      <c r="H887" s="34"/>
      <c r="M887" s="34"/>
      <c r="N887" s="34"/>
      <c r="O887" s="35"/>
      <c r="P887" s="35"/>
      <c r="Q887" s="16"/>
    </row>
    <row r="888" spans="6:17" ht="11.25" customHeight="1" x14ac:dyDescent="0.2">
      <c r="F888" s="34"/>
      <c r="H888" s="34"/>
      <c r="M888" s="34"/>
      <c r="N888" s="34"/>
      <c r="O888" s="35"/>
      <c r="P888" s="35"/>
      <c r="Q888" s="16"/>
    </row>
    <row r="889" spans="6:17" ht="11.25" customHeight="1" x14ac:dyDescent="0.2">
      <c r="F889" s="34"/>
      <c r="H889" s="34"/>
      <c r="M889" s="34"/>
      <c r="N889" s="34"/>
      <c r="O889" s="35"/>
      <c r="P889" s="35"/>
      <c r="Q889" s="16"/>
    </row>
    <row r="890" spans="6:17" ht="11.25" customHeight="1" x14ac:dyDescent="0.2">
      <c r="F890" s="34"/>
      <c r="H890" s="34"/>
      <c r="M890" s="34"/>
      <c r="N890" s="34"/>
      <c r="O890" s="35"/>
      <c r="P890" s="35"/>
      <c r="Q890" s="16"/>
    </row>
    <row r="891" spans="6:17" ht="11.25" customHeight="1" x14ac:dyDescent="0.2">
      <c r="F891" s="34"/>
      <c r="H891" s="34"/>
      <c r="M891" s="34"/>
      <c r="N891" s="34"/>
      <c r="O891" s="35"/>
      <c r="P891" s="35"/>
      <c r="Q891" s="16"/>
    </row>
    <row r="892" spans="6:17" ht="11.25" customHeight="1" x14ac:dyDescent="0.2">
      <c r="F892" s="34"/>
      <c r="H892" s="34"/>
      <c r="M892" s="34"/>
      <c r="N892" s="34"/>
      <c r="O892" s="35"/>
      <c r="P892" s="35"/>
      <c r="Q892" s="16"/>
    </row>
    <row r="893" spans="6:17" ht="11.25" customHeight="1" x14ac:dyDescent="0.2">
      <c r="F893" s="34"/>
      <c r="H893" s="34"/>
      <c r="M893" s="34"/>
      <c r="N893" s="34"/>
      <c r="O893" s="35"/>
      <c r="P893" s="35"/>
      <c r="Q893" s="16"/>
    </row>
    <row r="894" spans="6:17" ht="11.25" customHeight="1" x14ac:dyDescent="0.2">
      <c r="F894" s="34"/>
      <c r="H894" s="34"/>
      <c r="M894" s="34"/>
      <c r="N894" s="34"/>
      <c r="O894" s="35"/>
      <c r="P894" s="35"/>
      <c r="Q894" s="16"/>
    </row>
    <row r="895" spans="6:17" ht="11.25" customHeight="1" x14ac:dyDescent="0.2">
      <c r="F895" s="34"/>
      <c r="H895" s="34"/>
      <c r="M895" s="34"/>
      <c r="N895" s="34"/>
      <c r="O895" s="35"/>
      <c r="P895" s="35"/>
      <c r="Q895" s="16"/>
    </row>
    <row r="896" spans="6:17" ht="11.25" customHeight="1" x14ac:dyDescent="0.2">
      <c r="F896" s="34"/>
      <c r="H896" s="34"/>
      <c r="M896" s="34"/>
      <c r="N896" s="34"/>
      <c r="O896" s="35"/>
      <c r="P896" s="35"/>
      <c r="Q896" s="16"/>
    </row>
    <row r="897" spans="6:17" ht="11.25" customHeight="1" x14ac:dyDescent="0.2">
      <c r="F897" s="34"/>
      <c r="H897" s="34"/>
      <c r="M897" s="34"/>
      <c r="N897" s="34"/>
      <c r="O897" s="35"/>
      <c r="P897" s="35"/>
      <c r="Q897" s="16"/>
    </row>
    <row r="898" spans="6:17" ht="11.25" customHeight="1" x14ac:dyDescent="0.2">
      <c r="F898" s="34"/>
      <c r="H898" s="34"/>
      <c r="M898" s="34"/>
      <c r="N898" s="34"/>
      <c r="O898" s="35"/>
      <c r="P898" s="35"/>
      <c r="Q898" s="16"/>
    </row>
    <row r="899" spans="6:17" ht="11.25" customHeight="1" x14ac:dyDescent="0.2">
      <c r="F899" s="34"/>
      <c r="H899" s="34"/>
      <c r="M899" s="34"/>
      <c r="N899" s="34"/>
      <c r="O899" s="35"/>
      <c r="P899" s="35"/>
      <c r="Q899" s="16"/>
    </row>
    <row r="900" spans="6:17" ht="11.25" customHeight="1" x14ac:dyDescent="0.2">
      <c r="F900" s="34"/>
      <c r="H900" s="34"/>
      <c r="M900" s="34"/>
      <c r="N900" s="34"/>
      <c r="O900" s="35"/>
      <c r="P900" s="35"/>
      <c r="Q900" s="16"/>
    </row>
    <row r="901" spans="6:17" ht="11.25" customHeight="1" x14ac:dyDescent="0.2">
      <c r="F901" s="34"/>
      <c r="H901" s="34"/>
      <c r="M901" s="34"/>
      <c r="N901" s="34"/>
      <c r="O901" s="35"/>
      <c r="P901" s="35"/>
      <c r="Q901" s="16"/>
    </row>
    <row r="902" spans="6:17" ht="11.25" customHeight="1" x14ac:dyDescent="0.2">
      <c r="F902" s="34"/>
      <c r="H902" s="34"/>
      <c r="M902" s="34"/>
      <c r="N902" s="34"/>
      <c r="O902" s="35"/>
      <c r="P902" s="35"/>
      <c r="Q902" s="16"/>
    </row>
    <row r="903" spans="6:17" ht="11.25" customHeight="1" x14ac:dyDescent="0.2">
      <c r="F903" s="34"/>
      <c r="H903" s="34"/>
      <c r="M903" s="34"/>
      <c r="N903" s="34"/>
      <c r="O903" s="35"/>
      <c r="P903" s="35"/>
      <c r="Q903" s="16"/>
    </row>
    <row r="904" spans="6:17" ht="11.25" customHeight="1" x14ac:dyDescent="0.2">
      <c r="F904" s="34"/>
      <c r="H904" s="34"/>
      <c r="M904" s="34"/>
      <c r="N904" s="34"/>
      <c r="O904" s="35"/>
      <c r="P904" s="35"/>
      <c r="Q904" s="16"/>
    </row>
    <row r="905" spans="6:17" ht="11.25" customHeight="1" x14ac:dyDescent="0.2">
      <c r="F905" s="34"/>
      <c r="H905" s="34"/>
      <c r="M905" s="34"/>
      <c r="N905" s="34"/>
      <c r="O905" s="35"/>
      <c r="P905" s="35"/>
      <c r="Q905" s="16"/>
    </row>
    <row r="906" spans="6:17" ht="11.25" customHeight="1" x14ac:dyDescent="0.2">
      <c r="F906" s="34"/>
      <c r="H906" s="34"/>
      <c r="M906" s="34"/>
      <c r="N906" s="34"/>
      <c r="O906" s="35"/>
      <c r="P906" s="35"/>
      <c r="Q906" s="16"/>
    </row>
    <row r="907" spans="6:17" ht="11.25" customHeight="1" x14ac:dyDescent="0.2">
      <c r="F907" s="34"/>
      <c r="H907" s="34"/>
      <c r="M907" s="34"/>
      <c r="N907" s="34"/>
      <c r="O907" s="35"/>
      <c r="P907" s="35"/>
      <c r="Q907" s="16"/>
    </row>
    <row r="908" spans="6:17" ht="11.25" customHeight="1" x14ac:dyDescent="0.2">
      <c r="F908" s="34"/>
      <c r="H908" s="34"/>
      <c r="M908" s="34"/>
      <c r="N908" s="34"/>
      <c r="O908" s="35"/>
      <c r="P908" s="35"/>
      <c r="Q908" s="16"/>
    </row>
    <row r="909" spans="6:17" ht="11.25" customHeight="1" x14ac:dyDescent="0.2">
      <c r="F909" s="34"/>
      <c r="H909" s="34"/>
      <c r="M909" s="34"/>
      <c r="N909" s="34"/>
      <c r="O909" s="35"/>
      <c r="P909" s="35"/>
      <c r="Q909" s="16"/>
    </row>
    <row r="910" spans="6:17" ht="11.25" customHeight="1" x14ac:dyDescent="0.2">
      <c r="F910" s="34"/>
      <c r="H910" s="34"/>
      <c r="M910" s="34"/>
      <c r="N910" s="34"/>
      <c r="O910" s="35"/>
      <c r="P910" s="35"/>
      <c r="Q910" s="16"/>
    </row>
    <row r="911" spans="6:17" ht="11.25" customHeight="1" x14ac:dyDescent="0.2">
      <c r="F911" s="34"/>
      <c r="H911" s="34"/>
      <c r="M911" s="34"/>
      <c r="N911" s="34"/>
      <c r="O911" s="35"/>
      <c r="P911" s="35"/>
      <c r="Q911" s="16"/>
    </row>
    <row r="912" spans="6:17" ht="11.25" customHeight="1" x14ac:dyDescent="0.2">
      <c r="F912" s="34"/>
      <c r="H912" s="34"/>
      <c r="M912" s="34"/>
      <c r="N912" s="34"/>
      <c r="O912" s="35"/>
      <c r="P912" s="35"/>
      <c r="Q912" s="16"/>
    </row>
    <row r="913" spans="6:17" ht="11.25" customHeight="1" x14ac:dyDescent="0.2">
      <c r="F913" s="34"/>
      <c r="H913" s="34"/>
      <c r="M913" s="34"/>
      <c r="N913" s="34"/>
      <c r="O913" s="35"/>
      <c r="P913" s="35"/>
      <c r="Q913" s="16"/>
    </row>
    <row r="914" spans="6:17" ht="11.25" customHeight="1" x14ac:dyDescent="0.2">
      <c r="F914" s="34"/>
      <c r="H914" s="34"/>
      <c r="M914" s="34"/>
      <c r="N914" s="34"/>
      <c r="O914" s="35"/>
      <c r="P914" s="35"/>
      <c r="Q914" s="16"/>
    </row>
    <row r="915" spans="6:17" ht="11.25" customHeight="1" x14ac:dyDescent="0.2">
      <c r="F915" s="34"/>
      <c r="H915" s="34"/>
      <c r="M915" s="34"/>
      <c r="N915" s="34"/>
      <c r="O915" s="35"/>
      <c r="P915" s="35"/>
      <c r="Q915" s="16"/>
    </row>
    <row r="916" spans="6:17" ht="11.25" customHeight="1" x14ac:dyDescent="0.2">
      <c r="F916" s="34"/>
      <c r="H916" s="34"/>
      <c r="M916" s="34"/>
      <c r="N916" s="34"/>
      <c r="O916" s="35"/>
      <c r="P916" s="35"/>
      <c r="Q916" s="16"/>
    </row>
    <row r="917" spans="6:17" ht="11.25" customHeight="1" x14ac:dyDescent="0.2">
      <c r="F917" s="34"/>
      <c r="H917" s="34"/>
      <c r="M917" s="34"/>
      <c r="N917" s="34"/>
      <c r="O917" s="35"/>
      <c r="P917" s="35"/>
      <c r="Q917" s="16"/>
    </row>
    <row r="918" spans="6:17" ht="11.25" customHeight="1" x14ac:dyDescent="0.2">
      <c r="F918" s="34"/>
      <c r="H918" s="34"/>
      <c r="M918" s="34"/>
      <c r="N918" s="34"/>
      <c r="O918" s="35"/>
      <c r="P918" s="35"/>
      <c r="Q918" s="16"/>
    </row>
    <row r="919" spans="6:17" ht="11.25" customHeight="1" x14ac:dyDescent="0.2">
      <c r="F919" s="34"/>
      <c r="H919" s="34"/>
      <c r="M919" s="34"/>
      <c r="N919" s="34"/>
      <c r="O919" s="35"/>
      <c r="P919" s="35"/>
      <c r="Q919" s="16"/>
    </row>
    <row r="920" spans="6:17" ht="11.25" customHeight="1" x14ac:dyDescent="0.2">
      <c r="F920" s="34"/>
      <c r="H920" s="34"/>
      <c r="M920" s="34"/>
      <c r="N920" s="34"/>
      <c r="O920" s="35"/>
      <c r="P920" s="35"/>
      <c r="Q920" s="16"/>
    </row>
    <row r="921" spans="6:17" ht="11.25" customHeight="1" x14ac:dyDescent="0.2">
      <c r="F921" s="34"/>
      <c r="H921" s="34"/>
      <c r="M921" s="34"/>
      <c r="N921" s="34"/>
      <c r="O921" s="35"/>
      <c r="P921" s="35"/>
      <c r="Q921" s="16"/>
    </row>
    <row r="922" spans="6:17" ht="11.25" customHeight="1" x14ac:dyDescent="0.2">
      <c r="F922" s="34"/>
      <c r="H922" s="34"/>
      <c r="M922" s="34"/>
      <c r="N922" s="34"/>
      <c r="O922" s="35"/>
      <c r="P922" s="35"/>
      <c r="Q922" s="16"/>
    </row>
    <row r="923" spans="6:17" ht="11.25" customHeight="1" x14ac:dyDescent="0.2">
      <c r="F923" s="34"/>
      <c r="H923" s="34"/>
      <c r="M923" s="34"/>
      <c r="N923" s="34"/>
      <c r="O923" s="35"/>
      <c r="P923" s="35"/>
      <c r="Q923" s="16"/>
    </row>
    <row r="924" spans="6:17" ht="11.25" customHeight="1" x14ac:dyDescent="0.2">
      <c r="F924" s="34"/>
      <c r="H924" s="34"/>
      <c r="M924" s="34"/>
      <c r="N924" s="34"/>
      <c r="O924" s="35"/>
      <c r="P924" s="35"/>
      <c r="Q924" s="16"/>
    </row>
    <row r="925" spans="6:17" ht="11.25" customHeight="1" x14ac:dyDescent="0.2">
      <c r="F925" s="34"/>
      <c r="H925" s="34"/>
      <c r="M925" s="34"/>
      <c r="N925" s="34"/>
      <c r="O925" s="35"/>
      <c r="P925" s="35"/>
      <c r="Q925" s="16"/>
    </row>
    <row r="926" spans="6:17" ht="11.25" customHeight="1" x14ac:dyDescent="0.2">
      <c r="F926" s="34"/>
      <c r="H926" s="34"/>
      <c r="M926" s="34"/>
      <c r="N926" s="34"/>
      <c r="O926" s="35"/>
      <c r="P926" s="35"/>
      <c r="Q926" s="16"/>
    </row>
    <row r="927" spans="6:17" ht="11.25" customHeight="1" x14ac:dyDescent="0.2">
      <c r="F927" s="34"/>
      <c r="H927" s="34"/>
      <c r="M927" s="34"/>
      <c r="N927" s="34"/>
      <c r="O927" s="35"/>
      <c r="P927" s="35"/>
      <c r="Q927" s="16"/>
    </row>
    <row r="928" spans="6:17" ht="11.25" customHeight="1" x14ac:dyDescent="0.2">
      <c r="F928" s="34"/>
      <c r="H928" s="34"/>
      <c r="M928" s="34"/>
      <c r="N928" s="34"/>
      <c r="O928" s="35"/>
      <c r="P928" s="35"/>
      <c r="Q928" s="16"/>
    </row>
    <row r="929" spans="6:17" ht="11.25" customHeight="1" x14ac:dyDescent="0.2">
      <c r="F929" s="34"/>
      <c r="H929" s="34"/>
      <c r="M929" s="34"/>
      <c r="N929" s="34"/>
      <c r="O929" s="35"/>
      <c r="P929" s="35"/>
      <c r="Q929" s="16"/>
    </row>
    <row r="930" spans="6:17" ht="11.25" customHeight="1" x14ac:dyDescent="0.2">
      <c r="F930" s="34"/>
      <c r="H930" s="34"/>
      <c r="M930" s="34"/>
      <c r="N930" s="34"/>
      <c r="O930" s="35"/>
      <c r="P930" s="35"/>
      <c r="Q930" s="16"/>
    </row>
    <row r="931" spans="6:17" ht="11.25" customHeight="1" x14ac:dyDescent="0.2">
      <c r="F931" s="34"/>
      <c r="H931" s="34"/>
      <c r="M931" s="34"/>
      <c r="N931" s="34"/>
      <c r="O931" s="35"/>
      <c r="P931" s="35"/>
      <c r="Q931" s="16"/>
    </row>
    <row r="932" spans="6:17" ht="11.25" customHeight="1" x14ac:dyDescent="0.2">
      <c r="F932" s="34"/>
      <c r="H932" s="34"/>
      <c r="M932" s="34"/>
      <c r="N932" s="34"/>
      <c r="O932" s="35"/>
      <c r="P932" s="35"/>
      <c r="Q932" s="16"/>
    </row>
    <row r="933" spans="6:17" ht="11.25" customHeight="1" x14ac:dyDescent="0.2">
      <c r="F933" s="34"/>
      <c r="H933" s="34"/>
      <c r="M933" s="34"/>
      <c r="N933" s="34"/>
      <c r="O933" s="35"/>
      <c r="P933" s="35"/>
      <c r="Q933" s="16"/>
    </row>
    <row r="934" spans="6:17" ht="11.25" customHeight="1" x14ac:dyDescent="0.2">
      <c r="F934" s="34"/>
      <c r="H934" s="34"/>
      <c r="M934" s="34"/>
      <c r="N934" s="34"/>
      <c r="O934" s="35"/>
      <c r="P934" s="35"/>
      <c r="Q934" s="16"/>
    </row>
    <row r="935" spans="6:17" ht="11.25" customHeight="1" x14ac:dyDescent="0.2">
      <c r="F935" s="34"/>
      <c r="H935" s="34"/>
      <c r="M935" s="34"/>
      <c r="N935" s="34"/>
      <c r="O935" s="35"/>
      <c r="P935" s="35"/>
      <c r="Q935" s="16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Pricing Tier-Term-Fico-Channel-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Coco Zhang</dc:creator>
  <cp:lastModifiedBy>Coco Zhang</cp:lastModifiedBy>
  <dcterms:created xsi:type="dcterms:W3CDTF">2026-04-24T13:22:34Z</dcterms:created>
  <dcterms:modified xsi:type="dcterms:W3CDTF">2026-04-24T17:12:18Z</dcterms:modified>
</cp:coreProperties>
</file>